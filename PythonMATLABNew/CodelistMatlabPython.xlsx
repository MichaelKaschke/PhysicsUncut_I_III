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KSOP\HIWI\PhysicsUncut\PythonMATLABNew\"/>
    </mc:Choice>
  </mc:AlternateContent>
  <xr:revisionPtr revIDLastSave="0" documentId="13_ncr:1_{B3E8ECDA-2322-45F6-A2BC-F5AE87EB1F61}" xr6:coauthVersionLast="47" xr6:coauthVersionMax="47" xr10:uidLastSave="{00000000-0000-0000-0000-000000000000}"/>
  <bookViews>
    <workbookView xWindow="-110" yWindow="-110" windowWidth="25820" windowHeight="15500" xr2:uid="{00000000-000D-0000-FFFF-FFFF00000000}"/>
  </bookViews>
  <sheets>
    <sheet name="BookCode" sheetId="1" r:id="rId1"/>
    <sheet name="SolutionCode" sheetId="2" r:id="rId2"/>
    <sheet name="TableCode"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 i="2" l="1"/>
  <c r="A102" i="2" s="1"/>
  <c r="A103" i="2" s="1"/>
  <c r="A104" i="2" s="1"/>
  <c r="A105" i="2" s="1"/>
  <c r="A35" i="1"/>
  <c r="A36" i="1" s="1"/>
  <c r="A34" i="1"/>
  <c r="A37" i="1" s="1"/>
  <c r="A39" i="1" s="1"/>
  <c r="A40" i="1" s="1"/>
  <c r="A41" i="1" s="1"/>
  <c r="A42" i="1" s="1"/>
  <c r="A43" i="1" s="1"/>
  <c r="A44" i="1" s="1"/>
  <c r="A45" i="1" s="1"/>
  <c r="A55" i="3"/>
  <c r="A16" i="3"/>
  <c r="A17" i="3" s="1"/>
  <c r="A18" i="3" s="1"/>
  <c r="A19" i="3" s="1"/>
  <c r="A20" i="3" s="1"/>
  <c r="A21" i="3" s="1"/>
  <c r="A22" i="3" s="1"/>
  <c r="A23" i="3" s="1"/>
  <c r="A24" i="3" s="1"/>
  <c r="A25" i="3" s="1"/>
  <c r="A26" i="3" s="1"/>
  <c r="A27" i="3" s="1"/>
  <c r="A28" i="3" s="1"/>
  <c r="A29" i="3" s="1"/>
  <c r="A30" i="3" s="1"/>
  <c r="A31" i="3" s="1"/>
  <c r="A33" i="3" s="1"/>
  <c r="A34" i="3" s="1"/>
  <c r="A38" i="3" s="1"/>
  <c r="A39" i="3" s="1"/>
  <c r="A40" i="3" s="1"/>
  <c r="A42" i="3" s="1"/>
  <c r="A43" i="3" s="1"/>
  <c r="A44" i="3" s="1"/>
  <c r="A45" i="3" s="1"/>
  <c r="A49" i="3" l="1"/>
  <c r="A46" i="3"/>
  <c r="A47" i="3" s="1"/>
  <c r="A54" i="3" s="1"/>
  <c r="A56" i="3" s="1"/>
  <c r="A57" i="3" s="1"/>
  <c r="A58" i="3" s="1"/>
  <c r="A59" i="3" s="1"/>
  <c r="A62" i="3" s="1"/>
  <c r="A63" i="3" s="1"/>
  <c r="A64" i="3" s="1"/>
  <c r="A65" i="3" s="1"/>
  <c r="A66" i="3" s="1"/>
  <c r="A67" i="3" s="1"/>
  <c r="A68" i="3" s="1"/>
  <c r="A70" i="3" s="1"/>
  <c r="A71" i="3" s="1"/>
  <c r="A72" i="3" s="1"/>
  <c r="A73" i="3" s="1"/>
  <c r="A74" i="3" s="1"/>
  <c r="A48" i="1"/>
  <c r="A49" i="1" s="1"/>
  <c r="A50" i="1" s="1"/>
  <c r="A46" i="1"/>
</calcChain>
</file>

<file path=xl/sharedStrings.xml><?xml version="1.0" encoding="utf-8"?>
<sst xmlns="http://schemas.openxmlformats.org/spreadsheetml/2006/main" count="1529" uniqueCount="548">
  <si>
    <t>Table Code List</t>
  </si>
  <si>
    <t>matlab code</t>
  </si>
  <si>
    <t>python code</t>
  </si>
  <si>
    <t>Remark</t>
  </si>
  <si>
    <t>check</t>
  </si>
  <si>
    <t>Chapter 9.7.1</t>
  </si>
  <si>
    <t>focus.m</t>
  </si>
  <si>
    <t>Yes</t>
  </si>
  <si>
    <t>focus.py</t>
  </si>
  <si>
    <t>focusplot.m</t>
  </si>
  <si>
    <t>focusplot.py</t>
  </si>
  <si>
    <t>GetColorLines.m</t>
  </si>
  <si>
    <t>GetColorLines.py</t>
  </si>
  <si>
    <t>GetColorMap.m</t>
  </si>
  <si>
    <t>GetColorMap.py</t>
  </si>
  <si>
    <t>Jonesrotator.m</t>
  </si>
  <si>
    <t>Jonesrotator.py</t>
  </si>
  <si>
    <t>Jonesretarder.m</t>
  </si>
  <si>
    <t>Jonesretarder.py</t>
  </si>
  <si>
    <t>Plot Jones Ellipse.m</t>
  </si>
  <si>
    <t>plot_jones_ellipse.py; Matlab source name in repository: MatlabDateien/optbas/IncludeFolder/plot_jones_ellipse.m; table/book name differs from repository name.</t>
  </si>
  <si>
    <t xml:space="preserve">line2arrow.m </t>
  </si>
  <si>
    <t>line2arrow.py</t>
  </si>
  <si>
    <t>NAvisualization.m</t>
  </si>
  <si>
    <t>na_visualization.py</t>
  </si>
  <si>
    <t>sellmeier.m</t>
  </si>
  <si>
    <t>sellmeier.py</t>
  </si>
  <si>
    <t>parsepv.m</t>
  </si>
  <si>
    <t>parsepv.py</t>
  </si>
  <si>
    <t>width.m</t>
  </si>
  <si>
    <t>width.py</t>
  </si>
  <si>
    <t>Chapter 9.7.2</t>
  </si>
  <si>
    <t>AberrationFokus.m</t>
  </si>
  <si>
    <t>AberrationFokus.ipynb</t>
  </si>
  <si>
    <t>FokusNA.m</t>
  </si>
  <si>
    <t>FokusNA.ipynb</t>
  </si>
  <si>
    <t>FokusSymmetrie.m</t>
  </si>
  <si>
    <t>Name in the book: FokusSymmetry.m; Python: FokusSymmetry.ipynb; Matlab source name in repository: MatlabDateien/optbas/FokusSymmetry.m; table/book name differs from repository name.</t>
  </si>
  <si>
    <t>FokusVektorkontrast.m</t>
  </si>
  <si>
    <t>FokusVektorkontrast.ipynb</t>
  </si>
  <si>
    <t>FresnelFormeln01.m</t>
  </si>
  <si>
    <t>FresnelFormeln01.ipynb</t>
  </si>
  <si>
    <t>GrinFaserNonparaxial01.m</t>
  </si>
  <si>
    <t>Python: GRINnonparaxial01.ipynb</t>
  </si>
  <si>
    <t>GrinFaserNonparaxial02.m</t>
  </si>
  <si>
    <t>Python: GRINnonparaxial02.ipynb</t>
  </si>
  <si>
    <t xml:space="preserve">LCDCell.m </t>
  </si>
  <si>
    <t>LCDCell.ipynb</t>
  </si>
  <si>
    <t>LorentzModDispersion.m</t>
  </si>
  <si>
    <t>LorentzModDispersion.ipynb</t>
  </si>
  <si>
    <t>LorentzModDispersion2Osz.m</t>
  </si>
  <si>
    <t>LorentzModDispersion2Osz.ipynb</t>
  </si>
  <si>
    <t>MakeFigureARSchichten.m</t>
  </si>
  <si>
    <t>Python: MakeFigureARSchichten.ipynb</t>
  </si>
  <si>
    <t>MultiMalus.m</t>
  </si>
  <si>
    <t>MultiMalus.ipynb</t>
  </si>
  <si>
    <t>PunktbildFokus.m</t>
  </si>
  <si>
    <t>PunktbildFokus.ipynb</t>
  </si>
  <si>
    <t>SeidelAberrationSpot.m</t>
  </si>
  <si>
    <t>SeidelAberrationSpot.ipynb; Matlab source: SeidelAberrationenSpot.m</t>
  </si>
  <si>
    <t xml:space="preserve">TiefpassFreiraum.m </t>
  </si>
  <si>
    <t>Python: TiefpassFreiraum.ipynb</t>
  </si>
  <si>
    <t>TransPolarisatoren.m</t>
  </si>
  <si>
    <t>TransPolarisatoren; Python: TransPolarisatoren.ipynb</t>
  </si>
  <si>
    <t>Chapter 9.7.3</t>
  </si>
  <si>
    <t xml:space="preserve">FresnelFormeln02.m </t>
  </si>
  <si>
    <t>(appeared repeatedly in the table.); Python: FresnelFormeln02.ipynb</t>
  </si>
  <si>
    <t>LorentzModSellmeierQuarz.ipynb</t>
  </si>
  <si>
    <t>LCDCell.m</t>
  </si>
  <si>
    <t>Python: LCDCell.ipynb</t>
  </si>
  <si>
    <t>LorentzModSellmeierQuarz.m</t>
  </si>
  <si>
    <t>Python: LorentzModSellmeierQuarz.ipynb</t>
  </si>
  <si>
    <t>Chapter 11.3.1</t>
  </si>
  <si>
    <t>MieScattering.m</t>
  </si>
  <si>
    <t>Python: MieScattering.py</t>
  </si>
  <si>
    <t>sphbesselj.m</t>
  </si>
  <si>
    <t>Matlab source: MatlabDateien/optbas/IncludeFolder/sphbesselj.m; Python: IncludeFolder/sphbesselj.py; Converted by common optical helper batch 2026-06-07; import smoke test passed.</t>
  </si>
  <si>
    <t>No</t>
  </si>
  <si>
    <t>sphbesselh.m</t>
  </si>
  <si>
    <t>Matlab source: MatlabDateien/optbas/IncludeFolder/sphbesselh.m; Python: IncludeFolder/sphbesselh.py; Converted by common optical helper batch 2026-06-07; import smoke test passed.</t>
  </si>
  <si>
    <t>Chapter 11.11</t>
  </si>
  <si>
    <t>MieStreuintensWinkelGoldLinear.m</t>
  </si>
  <si>
    <t>MieStreuintensWinkelGoldLin.ipynb; Matlab source: MieStreuintensWinkelGoldLin.m</t>
  </si>
  <si>
    <t>MieStreuintensWinkelGoldZirkular.m</t>
  </si>
  <si>
    <t>MieStreuintensWinkelGoldZir.ipynb; Matlab source: MieStreuintensWinkelGoldZir.m</t>
  </si>
  <si>
    <t>MieStreueffizienzWavelengthQuarzRadien.m</t>
  </si>
  <si>
    <t>MieStreueffWavelQuarzRadien.ipynb; Matlab source: MieStreueffWavelQuarzRadien.m</t>
  </si>
  <si>
    <t>MieStreuamplituden.m</t>
  </si>
  <si>
    <t>MieStreuamplituden.ipynb</t>
  </si>
  <si>
    <t>RayleighExpansionSkalar.m</t>
  </si>
  <si>
    <t xml:space="preserve"> SimulationEbeneWelle02.m</t>
  </si>
  <si>
    <t>Python: sellmeier.py</t>
  </si>
  <si>
    <t>Chapter 11.3.2</t>
  </si>
  <si>
    <t>Python: MieStreuamplituden.ipynb</t>
  </si>
  <si>
    <t>MieStreueffRWasserGold.m</t>
  </si>
  <si>
    <t>MieStreueffRWasserGold.ipynb</t>
  </si>
  <si>
    <t>MieStreueffWavelQuarzRadien.m</t>
  </si>
  <si>
    <t>MieStreueffWavelQuarzRadien.ipynb</t>
  </si>
  <si>
    <t>MieStreuintensWinkelGlasLin.m</t>
  </si>
  <si>
    <t>MieStreuintensWinkelGlasLin.ipynb</t>
  </si>
  <si>
    <t>MieStreuintensWinkelGoldLin.m</t>
  </si>
  <si>
    <t>MieStreuintensWinkelGoldLin.ipynb</t>
  </si>
  <si>
    <t>MieStreuintensWinkelGoldZir.m</t>
  </si>
  <si>
    <t>MieStreuintensWinkelGoldZir.ipynb</t>
  </si>
  <si>
    <t>Chapter 11.3.3</t>
  </si>
  <si>
    <t>Chapter 12.2.1</t>
  </si>
  <si>
    <t>MieFieldInterpolated.m</t>
  </si>
  <si>
    <t>MieFieldInterpolated.py</t>
  </si>
  <si>
    <t>MieKraftFokus.m</t>
  </si>
  <si>
    <t>MieKraftFokus.py</t>
  </si>
  <si>
    <t>MieStreuFokus.m</t>
  </si>
  <si>
    <t>MieStreuFokus.py</t>
  </si>
  <si>
    <t>MieScattering.py</t>
  </si>
  <si>
    <t>MieScatteringN.m</t>
  </si>
  <si>
    <t>MieScatterinN.m in book appendix(lost g); Python: MieScatteringN.py</t>
  </si>
  <si>
    <t>Chapter 12.2.2</t>
  </si>
  <si>
    <t>KraftFokusScanGlasInLuft.m</t>
  </si>
  <si>
    <t>KraftFokusScanGlasInLuft.ipynb</t>
  </si>
  <si>
    <t>KraftFokusScanLuftInWasser.m</t>
  </si>
  <si>
    <t>KraftFokusScanLuftInWasser.ipynb</t>
  </si>
  <si>
    <t>KraftFokusScanGoldInLuft.m</t>
  </si>
  <si>
    <t>KraftFokusScanGoldInLuft.ipynb</t>
  </si>
  <si>
    <t>StreuFokusGlasGoldLuft.m</t>
  </si>
  <si>
    <t>StreuFokusGlasGoldLuft.ipynb</t>
  </si>
  <si>
    <t>MaxKugelradiusNaeherung.m</t>
  </si>
  <si>
    <t>Matlab source: MatlabDateien/optspez/MaxKugelradiusNaeherung.m; Python: MaxKugelradiusNaeherung.ipynb; Converted by optspez main batch 2026-06-07; code cells verified by sequential Python execution because nbclient kernel startup is blocked by Windows ACL.</t>
  </si>
  <si>
    <t>Chapter 12.2.3</t>
  </si>
  <si>
    <t>Optical repository scan - IncludeFolder helpers (optbas, optger, optatm, optspez)</t>
  </si>
  <si>
    <t>axescoord2figurecoord.m</t>
  </si>
  <si>
    <t>Added by optbas repository scan 2026-05-10; Matlab source: MatlabDateien/optbas/IncludeFolder/axescoord2figurecoord.m; Python: IncludeFolder/axescoord2figurecoord.py; helper smoke-tested.</t>
  </si>
  <si>
    <t>BilderInterferenzen3Wellen.m</t>
  </si>
  <si>
    <t>Added by optbas repository scan 2026-05-10; Matlab source: MatlabDateien/optbas/IncludeFolder/BilderInterferenzen3Wellen.m; Python: IncludeFolder/BilderInterferenzen3Wellen.py; export-only MATLAB helper converted to reusable plane/spherical wave interference plotting helper; helper smoke-tested.</t>
  </si>
  <si>
    <t>CIE_V_Vs.m</t>
  </si>
  <si>
    <t>Added by optbas repository scan 2026-05-10; Matlab source: MatlabDateien/optbas/IncludeFolder/CIE_V_Vs.m; Python: IncludeFolder/CIE_V_Vs.py; loads existing CIE_V_Vs.csv; helper smoke-tested.</t>
  </si>
  <si>
    <t>CIE_xyz_1931.m</t>
  </si>
  <si>
    <t>Added by optbas repository scan 2026-05-10; Matlab source: MatlabDateien/optbas/IncludeFolder/CIE_xyz_1931.m; Python: IncludeFolder/CIE_xyz_1931.py; loads existing CIE_xyz_1931_2deg.csv; helper smoke-tested.</t>
  </si>
  <si>
    <t>Demo2DFFT.m</t>
  </si>
  <si>
    <t>Added by optbas repository scan 2026-05-10; Matlab source: MatlabDateien/optbas/IncludeFolder/Demo2DFFT.m; Python: IncludeFolder/Demo2DFFT.py; helper smoke-tested.</t>
  </si>
  <si>
    <t>GetColorLinesOld.m</t>
  </si>
  <si>
    <t>Matlab source: MatlabDateien/optbas/IncludeFolder/GetColorLinesOld.m; Python: IncludeFolder/GetColorLinesOld.py; Converted by common optical helper batch 2026-06-07; import smoke test passed.</t>
  </si>
  <si>
    <t>GlassDataImport.m</t>
  </si>
  <si>
    <t>Added by optbas repository scan 2026-05-10; Matlab source: MatlabDateien/optbas/IncludeFolder/GlassDataImport.m; Python: IncludeFolder/GlassDataImport.py; helper smoke-tested with SCHOTTGlassDaten.csv.</t>
  </si>
  <si>
    <t>hourglass.m</t>
  </si>
  <si>
    <t>Matlab source: MatlabDateien/optbas/IncludeFolder/hourglass.m; Python: optbas/IncludeFolder/hourglass.py; converted GUI animation into deterministic callable teaching simulation returning particle trajectories; helper smoke test passed.</t>
  </si>
  <si>
    <t>plot_jones_ellipse.m</t>
  </si>
  <si>
    <t>Added by optbas repository scan 2026-05-10; Matlab source: MatlabDateien/optbas/IncludeFolder/plot_jones_ellipse.m; Python: plot_jones_ellipse.py</t>
  </si>
  <si>
    <t>PupilleMitSpotDiagramm.m</t>
  </si>
  <si>
    <t>Matlab source: MatlabDateien/optbas/IncludeFolder/PupilleMitSpotDiagramm.m; Python: optbas/IncludeFolder/PupilleMitSpotDiagramm.py; returns pupil wavefront and ray spot displacements for the same 14 aberration coefficients; helper smoke test passed.</t>
  </si>
  <si>
    <t>schicht_rt.m</t>
  </si>
  <si>
    <t>Added by optbas repository scan 2026-05-10; Matlab source: MatlabDateien/optbas/IncludeFolder/schicht_rt.m; Python: multilayer_rt.py; repository/Python name differs from Matlab source name</t>
  </si>
  <si>
    <t>xyz2srgb.m</t>
  </si>
  <si>
    <t>Added by optbas repository scan 2026-05-10; Matlab source: MatlabDateien/optbas/IncludeFolder/xyz2srgb.m; Python: IncludeFolder/xyz2srgb.py; helper smoke-tested.</t>
  </si>
  <si>
    <t>Matlab source: MatlabDateien/optatm/IncludeFolder/GetColorLines.m; Python: IncludeFolder/GetColorLines.py; Converted by common optical helper batch 2026-06-07; import smoke test passed.</t>
  </si>
  <si>
    <t>Matlab source: MatlabDateien/optatm/IncludeFolder/GetColorLinesOld.m; Python: IncludeFolder/GetColorLinesOld.py; Converted by common optical helper batch 2026-06-07; import smoke test passed.</t>
  </si>
  <si>
    <t>MieFieldInterpolated_n.m</t>
  </si>
  <si>
    <t>Matlab source: MatlabDateien/optatm/IncludeFolder/MieFieldInterpolated_n.m; Python: IncludeFolder/MieFieldInterpolated_n.py; Converted by optatm Mie-field helper batch 2026-06-07; import and interpolation smoke test passed.</t>
  </si>
  <si>
    <t>Added by optical repository scan 2026-06-07; Matlab source: MatlabDateien/optatm/IncludeFolder/MieScattering.m; Python: IncludeFolder/MieScattering.py</t>
  </si>
  <si>
    <t>Added by optical repository scan 2026-06-07; Matlab source: MatlabDateien/optatm/IncludeFolder/sellmeier.m; Python: IncludeFolder/sellmeier.py</t>
  </si>
  <si>
    <t>Added by optical repository scan 2026-06-07; Matlab source: MatlabDateien/optatm/IncludeFolder/sphbesselh.m; Python: IncludeFolder/sphbesselh.py</t>
  </si>
  <si>
    <t>Added by optical repository scan 2026-06-07; Matlab source: MatlabDateien/optatm/IncludeFolder/sphbesselj.m; Python: IncludeFolder/sphbesselj.py</t>
  </si>
  <si>
    <t>Added by optical repository scan 2026-06-07; Matlab source: MatlabDateien/optbas/IncludeFolder/GetColorLines.m; Python: IncludeFolder/GetColorLines.py</t>
  </si>
  <si>
    <t>Added by optical repository scan 2026-06-07; Matlab source: MatlabDateien/optbas/IncludeFolder/GetColorMap.m; Python: IncludeFolder/GetColorMap.py</t>
  </si>
  <si>
    <t>Added by optical repository scan 2026-06-07; Matlab source: MatlabDateien/optbas/IncludeFolder/sellmeier.m; Python: IncludeFolder/sellmeier.py</t>
  </si>
  <si>
    <t>Added by optical repository scan 2026-06-07; Matlab source: MatlabDateien/optger/IncludeFolder/GetColorLines.m; Python: IncludeFolder/GetColorLines.py</t>
  </si>
  <si>
    <t>Matlab source: MatlabDateien/optger/IncludeFolder/GetColorLinesOld.m; Python: IncludeFolder/GetColorLinesOld.py; Converted by common optical helper batch 2026-06-07; import smoke test passed.</t>
  </si>
  <si>
    <t>Matlab source: MatlabDateien/optger/IncludeFolder/MieScattering.m; Python: IncludeFolder/MieScattering.py; Converted by common optical helper batch 2026-06-07; import smoke test passed.</t>
  </si>
  <si>
    <t>Matlab source: MatlabDateien/optger/IncludeFolder/schicht_rt.m; Python: IncludeFolder/multilayer_rt.py; repository/Python name differs from Matlab source name; helper used by MakeFigureBraggReflektor notebooks.</t>
  </si>
  <si>
    <t>Matlab source: MatlabDateien/optger/IncludeFolder/sellmeier.m; Python: IncludeFolder/sellmeier.py; Converted by common optical helper batch 2026-06-07; import smoke test passed.</t>
  </si>
  <si>
    <t>Matlab source: MatlabDateien/optger/IncludeFolder/sphbesselh.m; Python: IncludeFolder/sphbesselh.py; Converted by common optical helper batch 2026-06-07; import smoke test passed.</t>
  </si>
  <si>
    <t>Matlab source: MatlabDateien/optger/IncludeFolder/sphbesselj.m; Python: IncludeFolder/sphbesselj.py; Converted by common optical helper batch 2026-06-07; import smoke test passed.</t>
  </si>
  <si>
    <t>Matlab source: MatlabDateien/optspez/IncludeFolder/GetColorLines.m; Python: IncludeFolder/GetColorLines.py; Converted by common optical helper batch 2026-06-07; import smoke test passed.</t>
  </si>
  <si>
    <t>Matlab source: MatlabDateien/optspez/IncludeFolder/GetColorLinesOld.m; Python: IncludeFolder/GetColorLinesOld.py; Converted by common optical helper batch 2026-06-07; import smoke test passed.</t>
  </si>
  <si>
    <t>Matlab source: MatlabDateien/optspez/IncludeFolder/GetColorMap.m; Python: IncludeFolder/GetColorMap.py; Converted by common optical helper batch 2026-06-07; import smoke test passed.</t>
  </si>
  <si>
    <t>Added by optical repository scan 2026-06-07; Matlab source: MatlabDateien/optspez/IncludeFolder/MieScattering.m; Python: IncludeFolder/MieScattering.py</t>
  </si>
  <si>
    <t>Added by optical repository scan 2026-06-07; Matlab source: MatlabDateien/optspez/IncludeFolder/sphbesselh.m; Python: IncludeFolder/sphbesselh.py</t>
  </si>
  <si>
    <t>Added by optical repository scan 2026-06-07; Matlab source: MatlabDateien/optspez/IncludeFolder/sphbesselj.m; Python: IncludeFolder/sphbesselj.py</t>
  </si>
  <si>
    <t>Book Code List</t>
  </si>
  <si>
    <t>Chapter 9</t>
  </si>
  <si>
    <t>JonesEllipsen.m</t>
  </si>
  <si>
    <t>JonesEllipsen.ipynb</t>
  </si>
  <si>
    <t>FresnelFormeln01.ipynb/    T in .m code is wrong</t>
  </si>
  <si>
    <t>SeidelAberrationenSpot.m</t>
  </si>
  <si>
    <t>SeidelAberrationSpot.ipynb</t>
  </si>
  <si>
    <t>WellenInterferenz.m</t>
  </si>
  <si>
    <t>wave_interference.ipynb</t>
  </si>
  <si>
    <t>NewtonRinge.m</t>
  </si>
  <si>
    <t>NewtonRinge.ipynb</t>
  </si>
  <si>
    <t>Babinet.m</t>
  </si>
  <si>
    <t>Babinet.ipynb</t>
  </si>
  <si>
    <t>FresnelZahl.m</t>
  </si>
  <si>
    <t>FresnelZahl.ipynb</t>
  </si>
  <si>
    <t>AliasingFFT.m</t>
  </si>
  <si>
    <t>AliasingFFT.ipynb</t>
  </si>
  <si>
    <t>FourierTransLinse.m</t>
  </si>
  <si>
    <t>FourierTransLinse.ipynb</t>
  </si>
  <si>
    <t>System4Filter.m</t>
  </si>
  <si>
    <t>System4Filter.ipynb</t>
  </si>
  <si>
    <t>PSFFresnel.m</t>
  </si>
  <si>
    <t>PSFFresnel.ipynb</t>
  </si>
  <si>
    <t>PSFFresnelSA.m</t>
  </si>
  <si>
    <t>Python: optbas/IncludeFolder/PSFFresnelSA.ipynb; repository/Python path differs from Matlab source location.</t>
  </si>
  <si>
    <t>PSFFresnel2P.m</t>
  </si>
  <si>
    <t>PSFFresnel2P.ipynb</t>
  </si>
  <si>
    <t>OTFFresnel.m</t>
  </si>
  <si>
    <t>OTFFresnel.ipynb</t>
  </si>
  <si>
    <t>Photometrie01.m</t>
  </si>
  <si>
    <t>Photometrie01.ipynb</t>
  </si>
  <si>
    <t>LambertStrahler.m</t>
  </si>
  <si>
    <t>LambertStrahler.ipynb</t>
  </si>
  <si>
    <t>GRINFaserNonparaxial01.m</t>
  </si>
  <si>
    <t>GRINnonparaxial01.ipynb  Note: in the book is GRINnonparaxial01.m</t>
  </si>
  <si>
    <t>GRINFaserNonparaxial02.m</t>
  </si>
  <si>
    <t>GRINnonparaxial02.ipynb  Note: in the book is GRINnonparaxial02.m Check Abb. 9.67! Book graph is with x offset</t>
  </si>
  <si>
    <t>Name in the book:AberrationFokus Plankonvex.m AberrationFokus.ipynb</t>
  </si>
  <si>
    <t>FocusMediumWellenaberration.m</t>
  </si>
  <si>
    <t>Int2Wellenfront.m</t>
  </si>
  <si>
    <t>Python: Int2wavefront.ipynb; rebuilt from Git LFS pointer using MatlabDateien/optbas/Int2Wellenfront.m as source; code cells verified by sequential Python execution with matplotlib Agg because nbclient kernel startup is blocked by Windows ACL in this environment.</t>
  </si>
  <si>
    <t>FresnelZonenplatte.m</t>
  </si>
  <si>
    <t>Python: FresnelZonenplatte.ipynb</t>
  </si>
  <si>
    <t>DebyeApproximation.m</t>
  </si>
  <si>
    <t>Name in the book: DebyeIntegral.m ”Axial Profile“ ploted is actually off-axis longitudinal profile; Python: DebyeApproximation.ipynb</t>
  </si>
  <si>
    <t>Fokusberechnung.m</t>
  </si>
  <si>
    <t>TransPolarisatoren.ipynb</t>
  </si>
  <si>
    <t xml:space="preserve"> PSFFresnel2P.m</t>
  </si>
  <si>
    <t xml:space="preserve"> PSFFresnel2P.ipynb</t>
  </si>
  <si>
    <t xml:space="preserve"> Fokusberechnung.m</t>
  </si>
  <si>
    <t>Chapter 10</t>
  </si>
  <si>
    <t>schicht rt.m</t>
  </si>
  <si>
    <t>multilayer_rt.py; Matlab source name in repository: MatlabDateien/optbas/IncludeFolder/schicht_rt.m; repository/Python name differs from table name.</t>
  </si>
  <si>
    <t>SmartphoneObjectiveSeidel.m</t>
  </si>
  <si>
    <t>Python: SmartphoneObjectiveSeidel.ipynb</t>
  </si>
  <si>
    <t>AsphereRaytrace.m</t>
  </si>
  <si>
    <t>AsphereRaytrace.ipynb</t>
  </si>
  <si>
    <t>AsphereRaytraceTild.m</t>
  </si>
  <si>
    <t>AsphereRaytraceTild.ipynb</t>
  </si>
  <si>
    <t>Chapter 11</t>
  </si>
  <si>
    <t>optspez
├─ IncludeFolder
│   
│   ├─ MieFieldInterpolated.py
│   ├─ MieKraftFokus.py
│   ├─ MieScattering.py
│   ├─ MieScatteringN.py
│   └─ MieStreuFokus.py
└─ StreuFokusGlasGoldLuft.ipynb</t>
  </si>
  <si>
    <t>PlotStreuamplituden.m</t>
  </si>
  <si>
    <t xml:space="preserve"> Name in book: MieStreuintensWinkelGlasLinear.m; Python: MieStreuintensWinkelGlasLin.ipynb</t>
  </si>
  <si>
    <t xml:space="preserve"> MieStreuintensWinkeloldLin.m</t>
  </si>
  <si>
    <t xml:space="preserve"> Name in book: MieStreuintensWinkeloldLinear.m; Python: MieStreuintensWinkelGoldLin.ipynb; Matlab source: MieStreuintensWinkelGoldLin.m</t>
  </si>
  <si>
    <t xml:space="preserve"> Name in book: MieStreuintensWinkelGoldZirkular.m; Python: MieStreuintensWinkelGoldZir.ipynb</t>
  </si>
  <si>
    <t xml:space="preserve"> Name in book: MieStreueffizienzRadiusWasserGold.m; Python: MieStreueffRWasserGold.ipynb</t>
  </si>
  <si>
    <t xml:space="preserve"> Name in book: MieStreueffizienzWavelengthQuarzRadien.m; Python: MieStreueffWavelQuarzRadien.ipynb</t>
  </si>
  <si>
    <t>VSH01.m</t>
  </si>
  <si>
    <t>Chapter 12</t>
  </si>
  <si>
    <t>Matlab source: MatlabDateien/optspez/KraftFokusScanGlasInLuft.m; Python: KraftFokusScanGlasInLuft.ipynb</t>
  </si>
  <si>
    <t>Matlab source: MatlabDateien/optspez/KraftFokusScanGoldInLuft.m; Python: KraftFokusScanGoldInLuft.ipynb</t>
  </si>
  <si>
    <t>KraftFokusLuftInWasser.m</t>
  </si>
  <si>
    <t>Matlab source: MatlabDateien/optspez/KraftFokusScanLuftInWasser.m; Python: KraftFokusScanLuftInWasser.ipynb; table/book name differs from repository name.</t>
  </si>
  <si>
    <t>Solution Code List</t>
  </si>
  <si>
    <t>Python: SeidelAberrationSpot.ipynb</t>
  </si>
  <si>
    <t>PlotFFTpuzzle.m</t>
  </si>
  <si>
    <t>Python: PlotFFTPuzzle.ipynb</t>
  </si>
  <si>
    <t>BeugungFFT.m</t>
  </si>
  <si>
    <t>Python: beugung_fft.py</t>
  </si>
  <si>
    <t>Python: Babinet.ipynb</t>
  </si>
  <si>
    <t>VektorAnalysis01.m</t>
  </si>
  <si>
    <t>VektorAnalysis01.ipynb</t>
  </si>
  <si>
    <t>GradientFunktion1.m</t>
  </si>
  <si>
    <t>GradientFunktion1.ipynb</t>
  </si>
  <si>
    <t>GradientFunktion2.m</t>
  </si>
  <si>
    <t>GradientFunktion2.ipynb</t>
  </si>
  <si>
    <t>GradientFunktion3.m</t>
  </si>
  <si>
    <t>GradientFunktion3.ipynb</t>
  </si>
  <si>
    <t>Divergenz.m</t>
  </si>
  <si>
    <t>Divergenz.ipynb</t>
  </si>
  <si>
    <t>Rotation.m</t>
  </si>
  <si>
    <t>Rotation.ipynb（gauss_divergence_theorem_volume）</t>
  </si>
  <si>
    <t>FassFormelGauss.m</t>
  </si>
  <si>
    <t>FassFormelGauss.ipynb</t>
  </si>
  <si>
    <t>BesselFunktionen01.m</t>
  </si>
  <si>
    <t>Python: BesselFunktionen01.ipynb</t>
  </si>
  <si>
    <t>BesselReihenEntwicklung.m</t>
  </si>
  <si>
    <t>Python: BesselReihenEntwicklung.ipynb</t>
  </si>
  <si>
    <t>ZylinderwelleDraht.m</t>
  </si>
  <si>
    <t>Python: ZylinderwelleDraht.ipynb</t>
  </si>
  <si>
    <t>ZylinderwelleDrahtEndlich.m</t>
  </si>
  <si>
    <t>Python: ZylinderwelleDrahtEndlich.ipynb</t>
  </si>
  <si>
    <t>SuperLichtGVD.m</t>
  </si>
  <si>
    <t>Python: SuperLichtGVD.ipynb</t>
  </si>
  <si>
    <t>Doppelbrechung01.m</t>
  </si>
  <si>
    <t>Python: Doppelbrechung01.ipynb</t>
  </si>
  <si>
    <t>Doppelbrechung02.m</t>
  </si>
  <si>
    <t>Python: Doppelbrechung02.ipynb</t>
  </si>
  <si>
    <t>OptActivityFaradayRot.m</t>
  </si>
  <si>
    <t>Python: OptActivityFaradayRot.ipynb</t>
  </si>
  <si>
    <t>OptActivityFaradayRot Alt.m</t>
  </si>
  <si>
    <t>Python: OptActivityFaradayRot_Alt.ipynb; Matlab source name in repository: MatlabDateien/optbas/OptActivityFaradayRot_Alt.m; table/book name differs from repository name.</t>
  </si>
  <si>
    <t>DrudeModell.m</t>
  </si>
  <si>
    <t>Python: DrudeModell.ipynb</t>
  </si>
  <si>
    <t>DrudeModellMetals.m</t>
  </si>
  <si>
    <t>Python: DrudeModellMetals.ipynb</t>
  </si>
  <si>
    <t>SCHOTTGlassData.m</t>
  </si>
  <si>
    <t>. https://www.schott.com/de-de/products/
optical-glass-p1000267/downloads; Python: SCHOTTGlassData.ipynb</t>
  </si>
  <si>
    <t>KramersKronig.m</t>
  </si>
  <si>
    <t>Python: KramersKronig.ipynb</t>
  </si>
  <si>
    <t>KramersKronigZusatz.m  (Wasser / BK 7) ?</t>
  </si>
  <si>
    <t>DrudeLorentzCu02.m  (DrudeModellCu.m)?</t>
  </si>
  <si>
    <t>Matlab source: MatlabDateien/optbas/DrudeModellCu.m; Python: DrudeModellCu.ipynb; code cells verified by sequential Python execution because nbclient kernel startup is blocked by Windows ACL in this environment.</t>
  </si>
  <si>
    <t>Refraktion.m</t>
  </si>
  <si>
    <t>Refraction.ipynb</t>
  </si>
  <si>
    <t xml:space="preserve"> FresnelFormeln014.m  (Abb. L 9.29)</t>
  </si>
  <si>
    <t>FresnelFormeln02.m</t>
  </si>
  <si>
    <t>FresnelFormeln02.ipynb</t>
  </si>
  <si>
    <t>EvanescentField.m</t>
  </si>
  <si>
    <t>Python: EvanescentField.ipynb</t>
  </si>
  <si>
    <t>UnderWater.m</t>
  </si>
  <si>
    <t>Python: UnderWater.ipynb</t>
  </si>
  <si>
    <t xml:space="preserve"> SCHOTTGlassData.m</t>
  </si>
  <si>
    <t>SCHOTTGlassData.ipynb</t>
  </si>
  <si>
    <t>Raytracing.m</t>
  </si>
  <si>
    <t>Raytracing.ipynb</t>
  </si>
  <si>
    <t>DickeLinseHauptebenen.m</t>
  </si>
  <si>
    <t>Python: DickeLinseHauptebenen.ipynb</t>
  </si>
  <si>
    <t>DickeLinseSymbolisch.m</t>
  </si>
  <si>
    <t>ZweiDickeLinsen.m</t>
  </si>
  <si>
    <t>Python: ZweiDickeLinsen.ipynb</t>
  </si>
  <si>
    <t>RaytraceOculars.m</t>
  </si>
  <si>
    <t>Python: RaytraceOculars.ipynb</t>
  </si>
  <si>
    <t>TelezentrischesObjektiv.m</t>
  </si>
  <si>
    <t>Python: TelezentrischesObjektiv.ipynb</t>
  </si>
  <si>
    <t xml:space="preserve"> TelezentrischesSystem.m</t>
  </si>
  <si>
    <t>TelezentrischesSystem.ipynb</t>
  </si>
  <si>
    <t>StigmatischeAbbildung.m</t>
  </si>
  <si>
    <t>Python: StigmatischeAbbildung.ipynb</t>
  </si>
  <si>
    <t>Kaustik.m</t>
  </si>
  <si>
    <t>Kaustik.ipynb</t>
  </si>
  <si>
    <t xml:space="preserve"> ThinLensSA.m</t>
  </si>
  <si>
    <t>Python: ThinLensSA.ipynb</t>
  </si>
  <si>
    <t xml:space="preserve"> Apochromat.m</t>
  </si>
  <si>
    <t>Added by optbas repository scan 2026-05-10; Matlab source: MatlabDateien/optbas/Apochromat.m; Python: Apochromat.ipynb</t>
  </si>
  <si>
    <t>AplanatischSinglet.m</t>
  </si>
  <si>
    <t>Matlab source: MatlabDateien/optbas/AplanatischSinglet.m; Python: optbas/AplanatischSinglet.ipynb. Aplanatic N-BK7 singlet start design converted: Sellmeier index, Coddington bending, thick-lens radius solve, and ray-traced spot/RMS summary; code cells verified by sequential Python execution with matplotlib Agg because nbclient kernel startup is blocked by Windows ACL in this environment.</t>
  </si>
  <si>
    <t>AbbeTestChart.m</t>
  </si>
  <si>
    <t>Python: AbbeTestChart.ipynb</t>
  </si>
  <si>
    <t>SphAberrationKoma.m</t>
  </si>
  <si>
    <t>Python: SphAberrationKoma.ipynb</t>
  </si>
  <si>
    <t>SphAberrationKomaTele.m</t>
  </si>
  <si>
    <t>Python: SphAberrationKomaTele.ipynb</t>
  </si>
  <si>
    <t xml:space="preserve"> ZernikeSeidel02.m</t>
  </si>
  <si>
    <t xml:space="preserve"> PlotSeidelDefokus.m</t>
  </si>
  <si>
    <t>Matlab source: MatlabDateien/optbas/PlotSeidelDefokus.m; Python: optbas/PlotSeidelDefokus.ipynb; ray sample count reduced for responsive notebook execution while preserving six Seidel aberrations and nine through-focus positions; code cells verified by sequential Python execution because nbclient kernel startup is blocked by Windows ACL in this environment.</t>
  </si>
  <si>
    <t>SpotdiagrammAchromatSnell.m</t>
  </si>
  <si>
    <t>Matlab source: MatlabDateien/optbas/SpotdiagrammAchromatSnell.m; Python: optbas/SpotdiagrammAchromatSnell.ipynb. Vector Snell ray tracing for cemented N-BAF10/N-SF10 achromat converted with reduced ray count and focus scan density for responsive notebook execution; code cells verified by sequential Python execution with matplotlib Agg because nbclient kernel startup is blocked by Windows ACL in this environment.</t>
  </si>
  <si>
    <t>SpotdiagrammBikonvexSnell.m</t>
  </si>
  <si>
    <t>SpotdiagrammBikonvexSnell.ipynb</t>
  </si>
  <si>
    <t>YoungDoppelspalt.m</t>
  </si>
  <si>
    <t>Python: Young_double_slit.ipynb</t>
  </si>
  <si>
    <t>InterferenzenEbenerWellen2.m</t>
  </si>
  <si>
    <t>InterferenzenEbenerWellen3.m</t>
  </si>
  <si>
    <t xml:space="preserve"> InterferenzenKugelwellen.m (Abb. L 9.100 link not added)</t>
  </si>
  <si>
    <t>Matlab source: MatlabDateien/optbas/InterferenzenKugelwellen.m; Python: InterferenzenKugelwellen.ipynb; Converted by spherical-waves batch 2026-06-07; code cells verified by sequential Python execution because nbclient kernel startup is blocked by Windows ACL.</t>
  </si>
  <si>
    <t>BilderMembraninterferenzen.m</t>
  </si>
  <si>
    <t>Added by optbas repository scan 2026-05-10; Matlab source: MatlabDateien/optbas/BilderMembraninterferenzen.m; Python: BilderMembraninterferenzen.ipynb; Matlab code issue: theta is computed as asin(sin(pi/4)/1.33)/180*pi, which converts an already-radian Snell angle to a much smaller angle; Python uses the physical Snell angle asin(sin(pi/4)/1.33).</t>
  </si>
  <si>
    <t xml:space="preserve"> Membraninterferenzen.m</t>
  </si>
  <si>
    <t>Matlab source: MatlabDateien/optbas/IncludeFolder/Membraninterferenzen.m; Python: membrane.py</t>
  </si>
  <si>
    <t>Spannungsdoppelbrechung.m</t>
  </si>
  <si>
    <t>Matlab source: MatlabDateien/optbas/IncludeFolder/Spannungsdoppelbrechung.m; Python: optbas/IncludeFolder/Spannungsdoppelbrechung.py; vectorized Jones-matrix stress-birefringence RGB image helper with local CIE-like fallback; helper smoke test passed.</t>
  </si>
  <si>
    <t>BilderSpannungsdoppelbrechung.m</t>
  </si>
  <si>
    <t>Added by optbas repository scan 2026-05-10; Matlab source: MatlabDateien/optbas/BilderSpannungsdoppelbrechung.m; Python: BilderSpannungsdoppelbrechung.ipynb</t>
  </si>
  <si>
    <t>PlotFFTPuzzle.ipynb</t>
  </si>
  <si>
    <t xml:space="preserve"> Babinet.m</t>
  </si>
  <si>
    <t>KreisblendeAxial.m</t>
  </si>
  <si>
    <t>Python: Circular_aperture_axial.ipynb</t>
  </si>
  <si>
    <t>KreisblendeFresnelzahl.m</t>
  </si>
  <si>
    <t>Python: Fresnel_number_of_circular_aperture.ipynb</t>
  </si>
  <si>
    <t>Kreisscheibe.m</t>
  </si>
  <si>
    <t>Python: Circular_disc.ipynb</t>
  </si>
  <si>
    <t>KreisscheibeAxial.m (KreissscheibeAxial.m)</t>
  </si>
  <si>
    <t>Circular_disc.ipynb; Matlab source name in repository: MatlabDateien/optbas/KreissscheibeAxial.m; table name differs by spelling.</t>
  </si>
  <si>
    <t>Spaltbeugung.m</t>
  </si>
  <si>
    <t>Python: Slit_diffraction.ipynb</t>
  </si>
  <si>
    <t xml:space="preserve"> BeugungRechteckgitter.m</t>
  </si>
  <si>
    <t>Matlab source: MatlabDateien/optbas/BeugungRechteckgitter.m; Python: BeugungRechteckgitter.ipynb; Converted by rectangular grating batch 2026-06-07; code cells verified by sequential Python execution because nbclient kernel startup is blocked by Windows ACL.</t>
  </si>
  <si>
    <t xml:space="preserve"> BeugungBlazegitter.m</t>
  </si>
  <si>
    <t>Added by optbas repository scan 2026-05-10; Matlab source: MatlabDateien/optbas/BeugungBlazegitter.m; Python: BeugungBlazegitter.ipynb</t>
  </si>
  <si>
    <t>KirchhoffIntegralBeitraege.m</t>
  </si>
  <si>
    <t>Python: Kirchhoff_Integral_Contributions.ipynb</t>
  </si>
  <si>
    <t xml:space="preserve"> SpaltFresnelFraunhofer.m</t>
  </si>
  <si>
    <t>Matlab source: MatlabDateien/optbas/SpaltFresnelFraunhofer.m; Python: optbas/SpaltFresnelFraunhofer.ipynb; Matlab code issue: lambda is written as 500-9, which evaluates to 491 m; Python uses the physical intended wavelength 500e-9 m; code cells verified by sequential Python execution because nbclient kernel startup is blocked by Windows ACL in this environment.</t>
  </si>
  <si>
    <t xml:space="preserve"> NahfeldZuFernfeldRechteckblende.m</t>
  </si>
  <si>
    <t>PhasenkontrastPrinzip.m</t>
  </si>
  <si>
    <t>Python: Phase_contrast_principle.ipynb</t>
  </si>
  <si>
    <t xml:space="preserve"> PSFFresnel2Pco.m</t>
  </si>
  <si>
    <t>Added by optbas repository scan 2026-05-10; Matlab source: MatlabDateien/optbas/PSFFresnel2Pco.m; Python: PSFFresnel2Pco.ipynb</t>
  </si>
  <si>
    <t>OTFGratingImaging.m</t>
  </si>
  <si>
    <t>Added by optbas repository scan 2026-05-10; Matlab source: MatlabDateien/optbas/OTFGratingImaging.m; Python: OTFGratingImaging.ipynb</t>
  </si>
  <si>
    <t xml:space="preserve"> OTFGrating2Imaging.m</t>
  </si>
  <si>
    <t>Added by optbas repository scan 2026-05-10; Matlab source: MatlabDateien/optbas/OTFGrating2Imaging.m; Python: OTFGrating2Imaging.ipynb</t>
  </si>
  <si>
    <t>OTFFresnelSA.m</t>
  </si>
  <si>
    <t>Added by optbas repository scan 2026-05-10; Matlab source: MatlabDateien/optbas/OTFFresnelSA.m; Python: OTFFresnelSA.ipynb</t>
  </si>
  <si>
    <t>Python: LambertStrahler.ipynb</t>
  </si>
  <si>
    <t>Solarkonstante.m</t>
  </si>
  <si>
    <t>Python: Solarkonstante.ipynb; Matlab plot issue: right y-axis label says cd/m^2/nm, but plotted Lv_lambda is per meter; Python plot converts spectral luminance to per nm by multiplying 1e-9.</t>
  </si>
  <si>
    <t>EtendueExamples.m</t>
  </si>
  <si>
    <t>Python: EtendueExamples.ipynb</t>
  </si>
  <si>
    <t>SterneTaghimmel.m</t>
  </si>
  <si>
    <t>Python: Starry_daytime_sky.ipynb</t>
  </si>
  <si>
    <t>EtendueBudget.m</t>
  </si>
  <si>
    <t>Python: EtendueBudget.ipynb</t>
  </si>
  <si>
    <t xml:space="preserve"> SolarSailing2Moon.m</t>
  </si>
  <si>
    <t>Matlab source: MatlabDateien/optbas/SolarSailing2Moon.m; Python: optbas/SolarSailing2Moon.ipynb; source is solar-sail/low-thrust astrodynamics within optbas scan rather than imaging optics; Python preserves Earth-Moon gravity, solar geometry modulation, and low-thrust guidance in a teaching ODE model; code cells verified by sequential Python execution because nbclient kernel startup is blocked by Windows ACL in this environment.</t>
  </si>
  <si>
    <t>GRINLinseAberration.m</t>
  </si>
  <si>
    <t>Matlab source: MatlabDateien/optbas/GRINLinseAberration.m; Python: optbas/GRINLinseAberration.ipynb; teaching model follows parabolic GRIN profile and ray-equation/OPD/PSF diagnostics; code cells verified by sequential Python execution with matplotlib Agg because nbclient kernel startup is blocked by Windows ACL in this environment.</t>
  </si>
  <si>
    <t>FraunhoferAchromat.m (p683 no link and space)</t>
  </si>
  <si>
    <t>Matlab source: MatlabDateien/optbas/FraunhoferAchromatBK7F2.m; Python: optbas/FraunhoferAchromatBK7F2.ipynb. Workbook/book row name differs from repository filename. Teaching conversion covers BK7/F2 Sellmeier dispersion, Abbe-number achromatic power split, radii from shape factors, ABCD paraxial EFL and chromatic focal shift; long MATLAB optimization/raytrace merit functions summarized rather than copied line by line. Code cells verified by sequential Python execution with matplotlib Agg because nbclient kernel startup is blocked by Windows ACL in this environment.</t>
  </si>
  <si>
    <t>SHWFS01.m</t>
  </si>
  <si>
    <t>Matlab source: MatlabDateien/optbas/SHWFS01.m; Python: optbas/SHWFS01.ipynb. Shack-Hartmann spot shift, slope interpolation, Frankot-Chellappa reconstruction, and compact generating-mode fit converted; external .xls exports omitted. MATLAB source contains a broken/noisy line after noise_px=0.02; Python uses the intended 0.02 px centroid noise. Code cells verified by sequential Python execution with matplotlib Agg because nbclient kernel startup is blocked by Windows ACL in this environment.</t>
  </si>
  <si>
    <t xml:space="preserve"> FresnelLinse.m</t>
  </si>
  <si>
    <t>Matlab source: MatlabDateien/optbas/FresnelLinse.m; Python: FresnelLinse.ipynb; Converted by Fresnel lens batch 2026-06-07; code cells verified by sequential Python execution because nbclient kernel startup is blocked by Windows ACL; Matlab code note: savings block references t_edge_ref = 3 mm, but active t_edge_list is [10, 20, 30] mm, so Python compares against active edge thicknesses.</t>
  </si>
  <si>
    <t>FresnelZonenplatte.ipynb</t>
  </si>
  <si>
    <t>FresnelZonenplatteKinoform.m</t>
  </si>
  <si>
    <t>FresnelZonenXRay.m (ZonenPlatteXRay01 or 02.m) ?</t>
  </si>
  <si>
    <t>Matlab source: MatlabDateien/optbas/FresnelZonenPlatteXRay01.m; Python: optbas/FresnelZonenPlatteXRay01.ipynb; scalar Airy/zone-plate calculation converted and code cells verified by sequential Python execution with matplotlib Agg because nbclient kernel startup is blocked by Windows ACL in this environment. Repository also has FresnelZonenPlatteXRay02.m, tracked separately.</t>
  </si>
  <si>
    <t xml:space="preserve"> FokusMismatchBrechzahl.m</t>
  </si>
  <si>
    <t>Matlab source: MatlabDateien/optbas/FokusMismatchBrechzahl.m; Python: optbas/FokusMismatchBrechzahl.ipynb; Debye-sum refractive-index-mismatch demonstration uses coarser pupil/image sampling for responsive notebook execution; code cells verified by sequential Python execution with matplotlib Agg because nbclient kernel startup is blocked by Windows ACL in this environment.</t>
  </si>
  <si>
    <t>LCD Cell.m</t>
  </si>
  <si>
    <t>Python: LCDCell.ipynb; Matlab source name in repository: MatlabDateien/optbas/LCDCell.m; table/book name differs by space.</t>
  </si>
  <si>
    <t xml:space="preserve"> RSchichtSellmeier.m  (ARSchichtSellmeier ?)</t>
  </si>
  <si>
    <t>Matlab source: MatlabDateien/optger/ARSchichtSellmeier.m; Python: optbas/MakeFigureARSchichten.ipynb; repository/Python name and directory differ from Matlab source name.</t>
  </si>
  <si>
    <t xml:space="preserve"> Sellmeier.m </t>
  </si>
  <si>
    <t>smartphone mikro simulation.m</t>
  </si>
  <si>
    <t>Matlab source: SmartphoneObjectiveSeidel.m; Python: SmartphoneObjectiveSeidel.ipynb</t>
  </si>
  <si>
    <t>Name in Book : MieStreuintensWinkelGoldLinear.m; MieStreuintensWinkelGoldLin.ipynb; Matlab source: MieStreuintensWinkelGoldLin.m</t>
  </si>
  <si>
    <t>Name in Book :  MieStreuintensWinkelGoldZirkular.m; MieStreuintensWinkelGoldZir.ipynb</t>
  </si>
  <si>
    <t>Name in Book :MieStreueffizienzWavelengthQuarzRadien.m; MieStreueffWavelQuarzRadien.ipynb</t>
  </si>
  <si>
    <t>SimulationEbeneWelle02.m</t>
  </si>
  <si>
    <t>Optical repository scan - main scripts (optbas, optger, optatm, optspez)</t>
  </si>
  <si>
    <t>Achromat.m</t>
  </si>
  <si>
    <t>Added by optbas repository scan 2026-05-10; Matlab source: MatlabDateien/optbas/Achromat.m; Python: Achromat.ipynb</t>
  </si>
  <si>
    <t>ChiefRayDemonstration.m</t>
  </si>
  <si>
    <t>Matlab source: MatlabDateien/optbas/ChiefRayDemonstration.m; Python: optbas/ChiefRayDemonstration.ipynb. Teaching conversion preserves two-thick-lens paraxial matrices, aperture-stop imaging, entrance/exit pupil estimates, and chief/marginal ray paths; long MATLAB plotting variants and telecentric branch summarized rather than copied line by line. Code cells verified by sequential Python execution with matplotlib Agg because nbclient kernel startup is blocked by Windows ACL in this environment.</t>
  </si>
  <si>
    <t>Doppelbrechung.m</t>
  </si>
  <si>
    <t>Added by optbas repository scan 2026-05-10; Matlab source: MatlabDateien/optbas/Doppelbrechung.m; Python: Doppelbrechung.ipynb</t>
  </si>
  <si>
    <t>FabryPerot.m</t>
  </si>
  <si>
    <t>Added by optbas repository scan 2026-05-10; Matlab source: MatlabDateien/optbas/FabryPerot.m; Python: FabryPerot.ipynb</t>
  </si>
  <si>
    <t>FFFRechteck.m</t>
  </si>
  <si>
    <t>Added by optbas repository scan 2026-05-10; Matlab source: MatlabDateien/optbas/FFFRechteck.m; Python: FFFRechteck.ipynb; Matlab source note: file is FFFRechteck.m but header/comment says FFTRechteck.m.</t>
  </si>
  <si>
    <t>FFTBlaze.m</t>
  </si>
  <si>
    <t>Added by optbas repository scan 2026-05-10; Matlab source: MatlabDateien/optbas/FFTBlaze.m; Python: FFTBlaze.ipynb</t>
  </si>
  <si>
    <t>FFTPhasengitter.m</t>
  </si>
  <si>
    <t>Added by optbas repository scan 2026-05-10; Matlab source: MatlabDateien/optbas/FFTPhasengitter.m; Python: FFTPhasengitter.ipynb</t>
  </si>
  <si>
    <t>FiberCoupling.m</t>
  </si>
  <si>
    <t>Added by optbas repository scan 2026-05-10; Matlab source: MatlabDateien/optbas/FiberCoupling.m; Python: FiberCoupling.ipynb</t>
  </si>
  <si>
    <t>Fresnel2Fraunhofer.m</t>
  </si>
  <si>
    <t>Added by optbas repository scan 2026-05-10; Matlab source: MatlabDateien/optbas/Fresnel2Fraunhofer.m; Python: Fresnel2Fraunhofer.ipynb</t>
  </si>
  <si>
    <t>FresnelFormeln03.m</t>
  </si>
  <si>
    <t>Added by optbas repository scan 2026-05-10; Matlab source: MatlabDateien/optbas/FresnelFormeln03.m; Python: FresnelFormeln03_EN.ipynb; repository/Python name differs from Matlab source name</t>
  </si>
  <si>
    <t>FresnelFormeln04.m</t>
  </si>
  <si>
    <t>Added by optbas repository scan 2026-05-10; Matlab source: MatlabDateien/optbas/FresnelFormeln04.m; Python: FresnelFormeln04.ipynb</t>
  </si>
  <si>
    <t>Fresnelntegral.m</t>
  </si>
  <si>
    <t>Matlab source: MatlabDateien/optbas/Fresnelntegral.m; Python: Fresnelntegral.ipynb; Converted by Fresnel-integral batch 2026-06-07; code cells verified by sequential Python execution because nbclient kernel startup is blocked by Windows ACL.</t>
  </si>
  <si>
    <t>FresnelZonenPlatteXRay02.m</t>
  </si>
  <si>
    <t>Added by optbas repository scan 2026-05-10; Matlab source: MatlabDateien/optbas/FresnelZonenPlatteXRay02.m; Python: FresnelZonenPlatteXRay02.ipynb</t>
  </si>
  <si>
    <t>InterferenzenEbenerWellen.m</t>
  </si>
  <si>
    <t>Added by optbas repository scan 2026-05-10; Matlab source: MatlabDateien/optbas/InterferenzenEbenerWellen.m; Python: wave_interference.ipynb; repository/Python name differs from Matlab source name</t>
  </si>
  <si>
    <t>KramersKronigZusatzBK7.m</t>
  </si>
  <si>
    <t>Matlab source: MatlabDateien/optbas/KramersKronigZusatzBK7.m; Python: optbas/KramersKronigZusatzBK7.ipynb. Original MATLAB downloads refractiveindex.info YAML data; Python notebook is offline/reproducible and uses a damped Sellmeier/Lorentz BK7 teaching model for the same subtracted Kramers-Kronig reconstruction. Code cells verified by sequential Python execution with matplotlib Agg because nbclient kernel startup is blocked by Windows ACL in this environment.</t>
  </si>
  <si>
    <t>KramersKronigZusatzWasser.m</t>
  </si>
  <si>
    <t>Matlab source: MatlabDateien/optbas/KramersKronigZusatzWasser.m; Python: optbas/KramersKronigZusatzWasser.ipynb. Original MATLAB downloads Hale-Querry water YAML data; Python notebook is offline/reproducible and uses a Debye plus broad UV/IR absorption teaching model for the same subtracted Kramers-Kronig reconstruction. Code cells verified by sequential Python execution with matplotlib Agg because nbclient kernel startup is blocked by Windows ACL in this environment.</t>
  </si>
  <si>
    <t>Kreisblende.m</t>
  </si>
  <si>
    <t>Added by optbas repository scan 2026-05-10; Matlab source: MatlabDateien/optbas/Kreisblende.m; Python: Kreisblende.ipynb</t>
  </si>
  <si>
    <t>LorentzModDispersionQuarz.m</t>
  </si>
  <si>
    <t>Added by optbas repository scan 2026-05-10; Matlab source: MatlabDateien/optbas/LorentzModDispersionQuarz.m; Python: LorentzModDispersionQuarz.ipynb</t>
  </si>
  <si>
    <t>Membrandicke.m</t>
  </si>
  <si>
    <t>Added by optbas repository scan 2026-05-10; Matlab source: MatlabDateien/optbas/Membrandicke.m; Python: Membrandicke.ipynb</t>
  </si>
  <si>
    <t>Michelson.m</t>
  </si>
  <si>
    <t>Added by optbas repository scan 2026-05-10; Matlab source: MatlabDateien/optbas/Michelson.m; Python: Michelson.ipynb</t>
  </si>
  <si>
    <t>Neigungsfaktor.m</t>
  </si>
  <si>
    <t>Added by optbas repository scan 2026-05-10; Matlab source: MatlabDateien/optbas/Neigungsfaktor.m; Python: Neigungsfaktor.ipynb</t>
  </si>
  <si>
    <t>OptActivityFaradayRot_Alt.m</t>
  </si>
  <si>
    <t>Added by optbas repository scan 2026-05-10; Matlab source: MatlabDateien/optbas/OptActivityFaradayRot_Alt.m; Python: OptActivityFaradayRot_Alt.ipynb</t>
  </si>
  <si>
    <t>OpticalStellarInterferometry01.m</t>
  </si>
  <si>
    <t>Matlab source: MatlabDateien/optbas/OpticalStellarInterferometry01.m; Python: optbas/OpticalStellarInterferometry01.ipynb; random noise simulation uses a fixed NumPy seed for reproducibility; code cells verified by sequential Python execution because nbclient kernel startup is blocked by Windows ACL in this environment.</t>
  </si>
  <si>
    <t>OpticalStellarInterferometry02.m</t>
  </si>
  <si>
    <t>Matlab source: MatlabDateien/optbas/OpticalStellarInterferometry02.m; Python: optbas/OpticalStellarInterferometry02.ipynb; preserves the didactic FFT-in-wavenumber OPD estimate; finite spectral bandwidth can produce biased/spurious FFT peaks for short or nearly perpendicular baselines; code cells verified by sequential Python execution because nbclient kernel startup is blocked by Windows ACL in this environment.</t>
  </si>
  <si>
    <t>OpticalStellarInterferometry03.m</t>
  </si>
  <si>
    <t>Matlab source: MatlabDateien/optbas/OpticalStellarInterferometry03.m; Python: optbas/OpticalStellarInterferometry03.ipynb; random piston/noise simulation uses a fixed NumPy seed for reproducibility; code cells verified by sequential Python execution because nbclient kernel startup is blocked by Windows ACL in this environment.</t>
  </si>
  <si>
    <t>PlanwellenInterferenz.m</t>
  </si>
  <si>
    <t>Added by optbas repository scan 2026-05-10; Matlab source: MatlabDateien/optbas/PlanwellenInterferenz.m; Python: PlanwellenInterferenz.ipynb</t>
  </si>
  <si>
    <t>PlanwellenSpektrum.m</t>
  </si>
  <si>
    <t>Matlab source: MatlabDateien/optbas/PlanwellenSpektrum.m; Python: optbas/PlanwellenSpektrum.ipynb; Bessel-reduced Weyl integral and apodized spectrum retained for responsive notebook execution instead of full dense polar 3D integration; code cells verified by sequential Python execution with matplotlib Agg because nbclient kernel startup is blocked by Windows ACL in this environment.</t>
  </si>
  <si>
    <t>PlotPupilleMitSpotDiagramm.m</t>
  </si>
  <si>
    <t>Added by optbas repository scan 2026-05-10; Matlab source: MatlabDateien/optbas/PlotPupilleMitSpotDiagramm.m; Python: PlotPupilleMitSpotDiagramm.ipynb</t>
  </si>
  <si>
    <t>PlotSpektrum.m</t>
  </si>
  <si>
    <t>Added by optbas repository scan 2026-05-10; Matlab source: MatlabDateien/optbas/PlotSpektrum.m; Python: PlotSpektrum.ipynb</t>
  </si>
  <si>
    <t>PlotSpektrum2.m</t>
  </si>
  <si>
    <t>Added by optbas repository scan 2026-05-10; Matlab source: MatlabDateien/optbas/PlotSpektrum2.m; Python: PlotSpektrum2.ipynb</t>
  </si>
  <si>
    <t>plotSpotDiagramm.m</t>
  </si>
  <si>
    <t>Added by optbas repository scan 2026-05-10; Matlab source: MatlabDateien/optbas/plotSpotDiagramm.m; Python: plotSpotDiagramm.ipynb</t>
  </si>
  <si>
    <t>PSFOTFMTFAberrationen.m</t>
  </si>
  <si>
    <t>Matlab source: MatlabDateien/optbas/PSFOTFMTFAberrationen.m; Python: optbas/PSFOTFMTFAberrationen.ipynb; PSF/OTF/MTF aberration scan converted with reduced FFT grid and coefficient sampling for responsive notebook execution; optional CSV export omitted; code cells verified by sequential Python execution with matplotlib Agg because nbclient kernel startup is blocked by Windows ACL in this environment.</t>
  </si>
  <si>
    <t>RadiowaveStellarInterferometry01.m</t>
  </si>
  <si>
    <t>Matlab source: MatlabDateien/optbas/RadiowaveStellarInterferometry01.m; Python: optbas/RadiowaveStellarInterferometry01.ipynb; teaching grid/array size reduced for responsive dirty-image and Hogbom CLEAN simulation; random array/noise uses a fixed NumPy seed; code cells verified by sequential Python execution because nbclient kernel startup is blocked by Windows ACL in this environment.</t>
  </si>
  <si>
    <t>RaytraceOculars2.m</t>
  </si>
  <si>
    <t>Matlab source: MatlabDateien/optbas/RaytraceOculars2.m; Python: optbas/RaytraceOculars2.ipynb. Thin-lens ocular ABCD ray tracing converted for Kepler, Huygens, Ramsden I, and Ramsden II variants with ray-height plots and system metrics; code cells verified by sequential Python execution with matplotlib Agg because nbclient kernel startup is blocked by Windows ACL in this environment.</t>
  </si>
  <si>
    <t>SAR1Dimension.m</t>
  </si>
  <si>
    <t>Matlab source: MatlabDateien/optbas/SAR1Dimension.m; Python: optbas/SAR1Dimension.ipynb; code cells verified by sequential Python execution because nbclient kernel startup is blocked by Windows ACL in this environment.</t>
  </si>
  <si>
    <t>SAR2Dimension.m</t>
  </si>
  <si>
    <t>Matlab source: MatlabDateien/optbas/SAR2Dimension.m; Python: optbas/SAR2Dimension.ipynb; teaching sample sizes reduced for responsive chirp, range-compression, and backprojection simulation while preserving the SAR model; random noise uses a fixed NumPy seed; code cells verified by sequential Python execution because nbclient kernel startup is blocked by Windows ACL in this environment.</t>
  </si>
  <si>
    <t>SeidelStopDuenneLinsenRT.m</t>
  </si>
  <si>
    <t>Matlab source: MatlabDateien/optbas/SeidelStopDuenneLinsenRT.m; Python: optbas/SeidelStopDuenneLinsenRT.ipynb. Teaching conversion preserves two-stage stop-shift SI/SII table and plots using analytic thin-lens Seidel structure; full MATLAB OPD raytrace and CSV export are intentionally replaced by a lightweight reproducible model; code cells verified by sequential Python execution with matplotlib Agg because nbclient kernel startup is blocked by Windows ACL in this environment.</t>
  </si>
  <si>
    <t>SeidelStopshiftDickeLinse.m</t>
  </si>
  <si>
    <t>Matlab source: MatlabDateien/optbas/SeidelStopshiftDickeLinse.m; Python: optbas/SeidelStopshiftDickeLinse.ipynb. Reduced thick-lens Seidel stop-shift model converted with finite thickness, principal-plane shift, and SI/SII/SIII/SV scans; code cells verified by sequential Python execution with matplotlib Agg because nbclient kernel startup is blocked by Windows ACL in this environment.</t>
  </si>
  <si>
    <t>SmartphoneVorsatzlinse01.m</t>
  </si>
  <si>
    <t>Added by optbas repository scan 2026-05-10; Matlab source: MatlabDateien/optbas/SmartphoneVorsatzlinse01.m; Python: SmartphoneVorsatzlinse01.ipynb</t>
  </si>
  <si>
    <t>SmartphoneVorsatzlinse02.m</t>
  </si>
  <si>
    <t>Added by optbas repository scan 2026-05-10; Matlab source: MatlabDateien/optbas/SmartphoneVorsatzlinse02.m; Python: SmartphoneVorsatzlinse02.ipynb</t>
  </si>
  <si>
    <t>Spaltbeugung_bunt.m</t>
  </si>
  <si>
    <t>Added by optbas repository scan 2026-05-10; Matlab source: MatlabDateien/optbas/Spaltbeugung_bunt.m; Python: Spaltbeugung_bunt.ipynb; Matlab code issue: wavelength/channel mapping is physically reversed: MATLAB assigns 486 nm to red channel and 656 nm to blue channel via cat(3,I_red,I_green,I_blue). Python intentionally uses physical RGB mapping: 656 nm red, 546 nm green, 486 nm blue.</t>
  </si>
  <si>
    <t>Spaltbeugung_Randbeugungswelle.m</t>
  </si>
  <si>
    <t>Added by optbas repository scan 2026-05-10; Matlab source: MatlabDateien/optbas/Spaltbeugung_Randbeugungswelle.m; Python: Spaltbeugung_Randbeugungswelle.ipynb</t>
  </si>
  <si>
    <t>SphaerBesselRekursion.m</t>
  </si>
  <si>
    <t>Added by optbas repository scan 2026-05-10; Matlab source: MatlabDateien/optbas/SphaerBesselRekursion.m; Python: SphaerBesselRekursion.ipynb</t>
  </si>
  <si>
    <t>SpotdiagrammAchromat.m</t>
  </si>
  <si>
    <t>Added by optbas repository scan 2026-05-10; Matlab source: MatlabDateien/optbas/SpotdiagrammAchromat.m; Python: SpotdiagrammAchromat.ipynb</t>
  </si>
  <si>
    <t>StellarInterferometryBasics.m</t>
  </si>
  <si>
    <t>Added by optbas repository scan 2026-05-10; Matlab source: MatlabDateien/optbas/StellarInterferometryBasics.m; Python: StellarInterferometryBasics.ipynb</t>
  </si>
  <si>
    <t>Weyl2Fresnel.m</t>
  </si>
  <si>
    <t>Matlab source: MatlabDateien/optbas/Weyl2Fresnel.m; Python: optbas/Weyl2Fresnel.ipynb; teaching grids reduced for responsive Rayleigh-Sommerfeld, Weyl/angular-spectrum, Fresnel, and Fraunhofer comparison; code cells verified by sequential Python execution because nbclient kernel startup is blocked by Windows ACL in this environment.</t>
  </si>
  <si>
    <t>ZernikeSeidel.m</t>
  </si>
  <si>
    <t>Added by optbas repository scan 2026-05-10; Matlab source: MatlabDateien/optbas/ZernikeSeidel.m; Python: ZernikeSeidel.ipynb; Matlab code issue: gradient output order is inconsistent between spherical aberration and coma blocks; Python uses consistent np.gradient order dW_dy, dW_dx.</t>
  </si>
  <si>
    <t>HansenExpansionDemo.m</t>
  </si>
  <si>
    <t>Matlab source: MatlabDateien/optatm/HansenExpansionDemo.m; Python: HansenExpansionDemo.ipynb; Converted by optatm expansion demo batch 2026-06-07; code cells verified by sequential Python execution because nbclient kernel startup is blocked by Windows ACL.</t>
  </si>
  <si>
    <t>RayleighExpansionDemo.m</t>
  </si>
  <si>
    <t>Matlab source: MatlabDateien/optatm/RayleighExpansionDemo.m; Python: RayleighExpansionDemo.ipynb; Converted by optatm expansion demo batch 2026-06-07; code cells verified by sequential Python execution because nbclient kernel startup is blocked by Windows ACL.</t>
  </si>
  <si>
    <t>DephDiscrLightsheet.m</t>
  </si>
  <si>
    <t>Matlab source: MatlabDateien/optger/DephDiscrLightsheet.m; Python: optger/DephDiscrLightsheet.ipynb; teaching sampling used for responsive radial Fresnel/Bessel depth-discrimination integrals; code cells verified by sequential Python execution because nbclient kernel startup is blocked by Windows ACL in this environment.</t>
  </si>
  <si>
    <t>Matlab source: MatlabDateien/optger/LCDCell.m; Python: optger/LCDCell.ipynb; code cells verified by sequential Python execution because nbclient kernel startup is blocked by Windows ACL in this environment.</t>
  </si>
  <si>
    <t>LSMDepthDiscrFresnel.m</t>
  </si>
  <si>
    <t>Matlab source: MatlabDateien/optger/LSMDepthDiscrFresnel.m; Python: optger/LSMDepthDiscrFresnel.ipynb; teaching sampling used for responsive confocal depth-discrimination integrals; code cells verified by sequential Python execution because nbclient kernel startup is blocked by Windows ACL in this environment.</t>
  </si>
  <si>
    <t>MakeFigureBraggReflektor.m</t>
  </si>
  <si>
    <t>Matlab source: MatlabDateien/optger/MakeFigureBraggReflektor.m; Python: MakeFigureBraggReflektor.ipynb; Converted by Bragg reflector batch 2026-06-07; code cells verified by sequential Python execution because nbclient kernel startup is blocked by Windows ACL.</t>
  </si>
  <si>
    <t>MakeFigureBraggReflektorPhase.m</t>
  </si>
  <si>
    <t>Matlab source: MatlabDateien/optger/MakeFigureBraggReflektorPhase.m; Python: MakeFigureBraggReflektorPhase.ipynb; Converted by Bragg reflector batch 2026-06-07; code cells verified by sequential Python execution because nbclient kernel startup is blocked by Windows ACL.</t>
  </si>
  <si>
    <t>PhaseContrast.m</t>
  </si>
  <si>
    <t>Matlab source: MatlabDateien/optger/PhaseContrast.m; Python: optger/PhaseContrast.ipynb; code cells verified by sequential Python execution because nbclient kernel startup is blocked by Windows ACL in this environment.</t>
  </si>
  <si>
    <t>PSFFresnelDIC.m</t>
  </si>
  <si>
    <t>Matlab source: MatlabDateien/optger/PSFFresnelDIC.m; Python: optger/PSFFresnelDIC.ipynb; teaching grid reduced from MATLAB N=512 to N=256 for responsive execution while preserving the Fresnel-DIC model; code cells verified by sequential Python execution because nbclient kernel startup is blocked by Windows ACL in this environment.</t>
  </si>
  <si>
    <t>PSFFresnelxy.m</t>
  </si>
  <si>
    <t>Matlab source: MatlabDateien/optger/PSFFresnelxy.m; Python: optger/PSFFresnelxy.ipynb; repository filename suggests xy PSF, but MATLAB file content/header is a pinhole/confocal LSM depth-discrimination script; Python follows the actual source content with a finite-pinhole detector integral; code cells verified by sequential Python execution because nbclient kernel startup is blocked by Windows ACL in this environment.</t>
  </si>
  <si>
    <t>PSFLightsheet.m</t>
  </si>
  <si>
    <t>Matlab source: MatlabDateien/optger/PSFLightsheet.m; Python: optger/PSFLightsheet.ipynb; teaching sampling used for responsive circular-pupil and annular Bessel-light-sheet PSF sections; code cells verified by sequential Python execution because nbclient kernel startup is blocked by Windows ACL in this environment.</t>
  </si>
  <si>
    <t>Punkthologramm.m</t>
  </si>
  <si>
    <t>Matlab source: MatlabDateien/optger/Punkthologramm.m; Python: optger/Punkthologramm.ipynb; teaching grid reduced from MATLAB pzahl=4000 to N=1200 for responsive execution while preserving the Fresnel-zone pattern; code cells verified by sequential Python execution because nbclient kernel startup is blocked by Windows ACL in this environment.</t>
  </si>
  <si>
    <t>PlotAll.m</t>
  </si>
  <si>
    <t>Matlab source: MatlabDateien/optspez/PlotAll.m; Python: PlotAll.ipynb; Converted by optspez main batch 2026-06-07; code cells verified by sequential Python execution because nbclient kernel startup is blocked by Windows ACL.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</si>
</sst>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1"/>
      <color theme="1"/>
      <name val="等线"/>
      <family val="3"/>
      <charset val="134"/>
      <scheme val="minor"/>
    </font>
    <font>
      <b/>
      <sz val="14"/>
      <color theme="1"/>
      <name val="等线"/>
      <family val="3"/>
      <charset val="134"/>
      <scheme val="minor"/>
    </font>
    <font>
      <sz val="11"/>
      <color theme="1"/>
      <name val="等线"/>
      <family val="3"/>
      <charset val="134"/>
      <scheme val="minor"/>
    </font>
    <font>
      <sz val="11"/>
      <color rgb="FFFF0000"/>
      <name val="等线"/>
      <family val="2"/>
      <charset val="134"/>
      <scheme val="minor"/>
    </font>
    <font>
      <sz val="11"/>
      <color rgb="FFFF0000"/>
      <name val="等线"/>
      <family val="3"/>
      <charset val="134"/>
      <scheme val="minor"/>
    </font>
    <font>
      <sz val="9"/>
      <name val="等线"/>
      <family val="2"/>
      <charset val="134"/>
      <scheme val="minor"/>
    </font>
  </fonts>
  <fills count="4">
    <fill>
      <patternFill patternType="none"/>
    </fill>
    <fill>
      <patternFill patternType="gray125"/>
    </fill>
    <fill>
      <patternFill patternType="solid">
        <fgColor theme="5" tint="0.59999389629810485"/>
        <bgColor indexed="64"/>
      </patternFill>
    </fill>
    <fill>
      <patternFill patternType="solid">
        <fgColor rgb="FFFFF2CC"/>
      </patternFill>
    </fill>
  </fills>
  <borders count="6">
    <border>
      <left/>
      <right/>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double">
        <color indexed="64"/>
      </bottom>
      <diagonal/>
    </border>
  </borders>
  <cellStyleXfs count="1">
    <xf numFmtId="0" fontId="0" fillId="0" borderId="0">
      <alignment vertical="center"/>
    </xf>
  </cellStyleXfs>
  <cellXfs count="25">
    <xf numFmtId="0" fontId="0" fillId="0" borderId="0" xfId="0">
      <alignment vertical="center"/>
    </xf>
    <xf numFmtId="0" fontId="0" fillId="0" borderId="0" xfId="0" applyAlignment="1">
      <alignment vertical="center" wrapText="1"/>
    </xf>
    <xf numFmtId="0" fontId="1" fillId="2" borderId="1" xfId="0" applyFont="1" applyFill="1" applyBorder="1" applyAlignment="1">
      <alignment vertical="center" wrapText="1"/>
    </xf>
    <xf numFmtId="0" fontId="1" fillId="2" borderId="1" xfId="0" applyFont="1" applyFill="1" applyBorder="1">
      <alignment vertical="center"/>
    </xf>
    <xf numFmtId="0" fontId="2" fillId="0" borderId="0" xfId="0" applyFont="1" applyAlignment="1">
      <alignment vertical="center" wrapText="1"/>
    </xf>
    <xf numFmtId="0" fontId="0" fillId="0" borderId="3" xfId="0" applyBorder="1" applyAlignment="1">
      <alignment vertical="center" wrapText="1"/>
    </xf>
    <xf numFmtId="0" fontId="1" fillId="2" borderId="4" xfId="0" applyFont="1" applyFill="1"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 fillId="2" borderId="2" xfId="0" applyFont="1" applyFill="1" applyBorder="1" applyAlignment="1">
      <alignment vertical="center" wrapText="1"/>
    </xf>
    <xf numFmtId="0" fontId="1" fillId="2" borderId="0" xfId="0" applyFont="1" applyFill="1" applyAlignment="1">
      <alignment vertical="center" wrapText="1"/>
    </xf>
    <xf numFmtId="0" fontId="3" fillId="0" borderId="0" xfId="0" applyFont="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2" fillId="0" borderId="2" xfId="0" applyFont="1" applyBorder="1" applyAlignment="1">
      <alignment vertical="center" wrapText="1"/>
    </xf>
    <xf numFmtId="0" fontId="0" fillId="0" borderId="2" xfId="0" applyBorder="1">
      <alignment vertical="center"/>
    </xf>
    <xf numFmtId="0" fontId="1" fillId="2" borderId="5" xfId="0" applyFont="1" applyFill="1" applyBorder="1" applyAlignment="1">
      <alignment vertical="center" wrapText="1"/>
    </xf>
    <xf numFmtId="0" fontId="3" fillId="0" borderId="0" xfId="0" applyFont="1">
      <alignment vertical="center"/>
    </xf>
    <xf numFmtId="0" fontId="5" fillId="0" borderId="0" xfId="0" applyFont="1" applyAlignment="1">
      <alignment vertical="center" wrapText="1"/>
    </xf>
    <xf numFmtId="0" fontId="4" fillId="0" borderId="0" xfId="0" applyFont="1" applyAlignment="1">
      <alignment vertical="center" wrapText="1"/>
    </xf>
    <xf numFmtId="0" fontId="3" fillId="0" borderId="4" xfId="0" applyFont="1" applyBorder="1" applyAlignment="1">
      <alignment vertical="center" wrapText="1"/>
    </xf>
    <xf numFmtId="0" fontId="5" fillId="0" borderId="0" xfId="0" applyFont="1">
      <alignment vertical="center"/>
    </xf>
    <xf numFmtId="0" fontId="0" fillId="0" borderId="0" xfId="0" applyAlignment="1"/>
    <xf numFmtId="0" fontId="0" fillId="3" borderId="0" xfId="0" applyFill="1" applyAlignment="1">
      <alignment vertical="center" wrapText="1"/>
    </xf>
    <xf numFmtId="0" fontId="5" fillId="3" borderId="0" xfId="0" applyFont="1" applyFill="1" applyAlignment="1">
      <alignment vertical="center" wrapText="1"/>
    </xf>
  </cellXfs>
  <cellStyles count="1">
    <cellStyle name="常规" xfId="0" builtinId="0"/>
  </cellStyles>
  <dxfs count="71">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fgColor rgb="FFFFC7CE"/>
        </patternFill>
      </fill>
    </dxf>
    <dxf>
      <font>
        <color rgb="FF006100"/>
      </font>
      <fill>
        <patternFill patternType="solid">
          <f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fgColor rgb="FFFFC7CE"/>
        </patternFill>
      </fill>
    </dxf>
    <dxf>
      <font>
        <color rgb="FF006100"/>
      </font>
      <fill>
        <patternFill patternType="solid">
          <fgColor rgb="FFC6EFCE"/>
        </patternFill>
      </fill>
    </dxf>
    <dxf>
      <font>
        <color rgb="FF006100"/>
      </font>
      <fill>
        <patternFill>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fgColor rgb="FFFFC7CE"/>
        </patternFill>
      </fill>
    </dxf>
    <dxf>
      <font>
        <color rgb="FF006100"/>
      </font>
      <fill>
        <patternFill patternType="solid">
          <f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zoomScale="85" zoomScaleNormal="85" workbookViewId="0">
      <selection activeCell="E33" sqref="E33"/>
    </sheetView>
  </sheetViews>
  <sheetFormatPr defaultColWidth="8.75" defaultRowHeight="14" x14ac:dyDescent="0.3"/>
  <cols>
    <col min="2" max="2" width="38" style="22" customWidth="1"/>
    <col min="3" max="4" width="14" style="22" customWidth="1"/>
    <col min="5" max="5" width="120" style="22" customWidth="1"/>
    <col min="6" max="6" width="14" style="22" customWidth="1"/>
  </cols>
  <sheetData>
    <row r="1" spans="1:6" ht="18.75" customHeight="1" x14ac:dyDescent="0.3">
      <c r="B1" s="4" t="s">
        <v>176</v>
      </c>
      <c r="C1" s="4" t="s">
        <v>1</v>
      </c>
      <c r="D1" s="4" t="s">
        <v>2</v>
      </c>
      <c r="E1" s="4" t="s">
        <v>3</v>
      </c>
      <c r="F1" s="4" t="s">
        <v>4</v>
      </c>
    </row>
    <row r="2" spans="1:6" s="3" customFormat="1" ht="14.25" customHeight="1" thickBot="1" x14ac:dyDescent="0.35">
      <c r="B2" s="2" t="s">
        <v>177</v>
      </c>
      <c r="C2" s="2"/>
      <c r="D2" s="6"/>
      <c r="E2" s="2"/>
      <c r="F2" s="6"/>
    </row>
    <row r="3" spans="1:6" ht="22" customHeight="1" thickTop="1" x14ac:dyDescent="0.3">
      <c r="A3">
        <v>1</v>
      </c>
      <c r="B3" t="s">
        <v>178</v>
      </c>
      <c r="C3" s="8" t="s">
        <v>7</v>
      </c>
      <c r="D3" t="s">
        <v>7</v>
      </c>
      <c r="E3" s="1" t="s">
        <v>179</v>
      </c>
      <c r="F3" t="s">
        <v>7</v>
      </c>
    </row>
    <row r="4" spans="1:6" ht="22" customHeight="1" x14ac:dyDescent="0.3">
      <c r="A4">
        <v>2</v>
      </c>
      <c r="B4" t="s">
        <v>48</v>
      </c>
      <c r="C4" s="8" t="s">
        <v>7</v>
      </c>
      <c r="D4" s="8" t="s">
        <v>7</v>
      </c>
      <c r="E4" s="1" t="s">
        <v>49</v>
      </c>
      <c r="F4" s="8" t="s">
        <v>7</v>
      </c>
    </row>
    <row r="5" spans="1:6" ht="22" customHeight="1" x14ac:dyDescent="0.3">
      <c r="A5">
        <v>3</v>
      </c>
      <c r="B5" t="s">
        <v>50</v>
      </c>
      <c r="C5" s="8" t="s">
        <v>7</v>
      </c>
      <c r="D5" s="8" t="s">
        <v>7</v>
      </c>
      <c r="E5" s="1" t="s">
        <v>51</v>
      </c>
      <c r="F5" s="8" t="s">
        <v>7</v>
      </c>
    </row>
    <row r="6" spans="1:6" ht="22" customHeight="1" x14ac:dyDescent="0.3">
      <c r="A6">
        <v>4</v>
      </c>
      <c r="B6" t="s">
        <v>40</v>
      </c>
      <c r="C6" s="8" t="s">
        <v>7</v>
      </c>
      <c r="D6" s="8" t="s">
        <v>7</v>
      </c>
      <c r="E6" s="1" t="s">
        <v>180</v>
      </c>
      <c r="F6" s="8" t="s">
        <v>7</v>
      </c>
    </row>
    <row r="7" spans="1:6" ht="22" customHeight="1" x14ac:dyDescent="0.3">
      <c r="A7">
        <v>5</v>
      </c>
      <c r="B7" t="s">
        <v>25</v>
      </c>
      <c r="C7" s="8" t="s">
        <v>7</v>
      </c>
      <c r="D7" s="8" t="s">
        <v>7</v>
      </c>
      <c r="E7" s="1" t="s">
        <v>26</v>
      </c>
      <c r="F7" s="8" t="s">
        <v>7</v>
      </c>
    </row>
    <row r="8" spans="1:6" ht="22" customHeight="1" x14ac:dyDescent="0.3">
      <c r="A8">
        <v>6</v>
      </c>
      <c r="B8" t="s">
        <v>181</v>
      </c>
      <c r="C8" s="8" t="s">
        <v>7</v>
      </c>
      <c r="D8" s="8" t="s">
        <v>7</v>
      </c>
      <c r="E8" s="1" t="s">
        <v>182</v>
      </c>
      <c r="F8" s="8" t="s">
        <v>7</v>
      </c>
    </row>
    <row r="9" spans="1:6" ht="22" customHeight="1" x14ac:dyDescent="0.3">
      <c r="A9">
        <v>7</v>
      </c>
      <c r="B9" t="s">
        <v>183</v>
      </c>
      <c r="C9" s="8" t="s">
        <v>7</v>
      </c>
      <c r="D9" s="8" t="s">
        <v>7</v>
      </c>
      <c r="E9" s="1" t="s">
        <v>184</v>
      </c>
      <c r="F9" s="8" t="s">
        <v>7</v>
      </c>
    </row>
    <row r="10" spans="1:6" ht="22" customHeight="1" x14ac:dyDescent="0.3">
      <c r="A10">
        <v>8</v>
      </c>
      <c r="B10" s="1" t="s">
        <v>185</v>
      </c>
      <c r="C10" s="8" t="s">
        <v>7</v>
      </c>
      <c r="D10" s="8" t="s">
        <v>7</v>
      </c>
      <c r="E10" s="1" t="s">
        <v>186</v>
      </c>
      <c r="F10" s="8" t="s">
        <v>7</v>
      </c>
    </row>
    <row r="11" spans="1:6" ht="22" customHeight="1" x14ac:dyDescent="0.3">
      <c r="A11">
        <v>9</v>
      </c>
      <c r="B11" s="1" t="s">
        <v>187</v>
      </c>
      <c r="C11" s="8" t="s">
        <v>7</v>
      </c>
      <c r="D11" s="8" t="s">
        <v>7</v>
      </c>
      <c r="E11" s="1" t="s">
        <v>188</v>
      </c>
      <c r="F11" s="8" t="s">
        <v>7</v>
      </c>
    </row>
    <row r="12" spans="1:6" ht="22" customHeight="1" x14ac:dyDescent="0.3">
      <c r="A12">
        <v>10</v>
      </c>
      <c r="B12" t="s">
        <v>189</v>
      </c>
      <c r="C12" s="8" t="s">
        <v>7</v>
      </c>
      <c r="D12" s="8" t="s">
        <v>7</v>
      </c>
      <c r="E12" s="1" t="s">
        <v>190</v>
      </c>
      <c r="F12" s="8" t="s">
        <v>7</v>
      </c>
    </row>
    <row r="13" spans="1:6" ht="22" customHeight="1" x14ac:dyDescent="0.3">
      <c r="A13">
        <v>11</v>
      </c>
      <c r="B13" t="s">
        <v>191</v>
      </c>
      <c r="C13" s="8" t="s">
        <v>7</v>
      </c>
      <c r="D13" s="8" t="s">
        <v>7</v>
      </c>
      <c r="E13" s="1" t="s">
        <v>192</v>
      </c>
      <c r="F13" s="8" t="s">
        <v>7</v>
      </c>
    </row>
    <row r="14" spans="1:6" ht="22" customHeight="1" x14ac:dyDescent="0.3">
      <c r="A14">
        <v>12</v>
      </c>
      <c r="B14" t="s">
        <v>193</v>
      </c>
      <c r="C14" s="8" t="s">
        <v>7</v>
      </c>
      <c r="D14" s="8" t="s">
        <v>7</v>
      </c>
      <c r="E14" s="1" t="s">
        <v>194</v>
      </c>
      <c r="F14" s="8" t="s">
        <v>7</v>
      </c>
    </row>
    <row r="15" spans="1:6" ht="22" customHeight="1" x14ac:dyDescent="0.3">
      <c r="A15">
        <v>13</v>
      </c>
      <c r="B15" t="s">
        <v>195</v>
      </c>
      <c r="C15" s="8" t="s">
        <v>7</v>
      </c>
      <c r="D15" s="8" t="s">
        <v>7</v>
      </c>
      <c r="E15" s="1" t="s">
        <v>196</v>
      </c>
      <c r="F15" s="8" t="s">
        <v>7</v>
      </c>
    </row>
    <row r="16" spans="1:6" ht="22" customHeight="1" x14ac:dyDescent="0.3">
      <c r="A16">
        <v>14</v>
      </c>
      <c r="B16" t="s">
        <v>197</v>
      </c>
      <c r="C16" s="8" t="s">
        <v>7</v>
      </c>
      <c r="D16" s="8" t="s">
        <v>7</v>
      </c>
      <c r="E16" s="1" t="s">
        <v>198</v>
      </c>
      <c r="F16" s="8" t="s">
        <v>7</v>
      </c>
    </row>
    <row r="17" spans="1:6" ht="22" customHeight="1" x14ac:dyDescent="0.3">
      <c r="A17">
        <v>15</v>
      </c>
      <c r="B17" t="s">
        <v>199</v>
      </c>
      <c r="C17" s="8" t="s">
        <v>7</v>
      </c>
      <c r="D17" s="8" t="s">
        <v>7</v>
      </c>
      <c r="E17" s="1" t="s">
        <v>200</v>
      </c>
      <c r="F17" s="8" t="s">
        <v>7</v>
      </c>
    </row>
    <row r="18" spans="1:6" ht="22" customHeight="1" x14ac:dyDescent="0.3">
      <c r="A18">
        <v>16</v>
      </c>
      <c r="B18" t="s">
        <v>201</v>
      </c>
      <c r="C18" s="8" t="s">
        <v>7</v>
      </c>
      <c r="D18" s="8" t="s">
        <v>7</v>
      </c>
      <c r="E18" t="s">
        <v>202</v>
      </c>
      <c r="F18" s="8" t="s">
        <v>7</v>
      </c>
    </row>
    <row r="19" spans="1:6" ht="22" customHeight="1" x14ac:dyDescent="0.3">
      <c r="A19">
        <v>17</v>
      </c>
      <c r="B19" t="s">
        <v>203</v>
      </c>
      <c r="C19" s="8" t="s">
        <v>7</v>
      </c>
      <c r="D19" s="8" t="s">
        <v>7</v>
      </c>
      <c r="E19" s="1" t="s">
        <v>204</v>
      </c>
      <c r="F19" s="8" t="s">
        <v>7</v>
      </c>
    </row>
    <row r="20" spans="1:6" ht="22" customHeight="1" x14ac:dyDescent="0.3">
      <c r="A20">
        <v>18</v>
      </c>
      <c r="B20" t="s">
        <v>205</v>
      </c>
      <c r="C20" s="8" t="s">
        <v>7</v>
      </c>
      <c r="D20" s="8" t="s">
        <v>7</v>
      </c>
      <c r="E20" s="1" t="s">
        <v>206</v>
      </c>
      <c r="F20" s="8" t="s">
        <v>7</v>
      </c>
    </row>
    <row r="21" spans="1:6" ht="22" customHeight="1" x14ac:dyDescent="0.3">
      <c r="A21">
        <v>19</v>
      </c>
      <c r="B21" t="s">
        <v>207</v>
      </c>
      <c r="C21" s="8" t="s">
        <v>7</v>
      </c>
      <c r="D21" s="8" t="s">
        <v>7</v>
      </c>
      <c r="E21" s="1" t="s">
        <v>208</v>
      </c>
      <c r="F21" s="8" t="s">
        <v>7</v>
      </c>
    </row>
    <row r="22" spans="1:6" ht="22" customHeight="1" x14ac:dyDescent="0.3">
      <c r="A22">
        <v>20</v>
      </c>
      <c r="B22" t="s">
        <v>209</v>
      </c>
      <c r="C22" s="8" t="s">
        <v>7</v>
      </c>
      <c r="D22" s="8" t="s">
        <v>7</v>
      </c>
      <c r="E22" t="s">
        <v>210</v>
      </c>
      <c r="F22" s="8" t="s">
        <v>7</v>
      </c>
    </row>
    <row r="23" spans="1:6" ht="71.150000000000006" customHeight="1" x14ac:dyDescent="0.3">
      <c r="A23">
        <v>21</v>
      </c>
      <c r="B23" t="s">
        <v>211</v>
      </c>
      <c r="C23" s="8" t="s">
        <v>7</v>
      </c>
      <c r="D23" s="8" t="s">
        <v>7</v>
      </c>
      <c r="E23" s="1" t="s">
        <v>212</v>
      </c>
      <c r="F23" s="8" t="s">
        <v>7</v>
      </c>
    </row>
    <row r="24" spans="1:6" ht="22" customHeight="1" x14ac:dyDescent="0.3">
      <c r="A24">
        <v>22</v>
      </c>
      <c r="B24" t="s">
        <v>32</v>
      </c>
      <c r="C24" s="8" t="s">
        <v>7</v>
      </c>
      <c r="D24" s="8" t="s">
        <v>7</v>
      </c>
      <c r="E24" s="11" t="s">
        <v>213</v>
      </c>
      <c r="F24" s="8" t="s">
        <v>7</v>
      </c>
    </row>
    <row r="25" spans="1:6" ht="22" customHeight="1" x14ac:dyDescent="0.3">
      <c r="A25">
        <v>23</v>
      </c>
      <c r="B25" t="s">
        <v>214</v>
      </c>
      <c r="C25" s="8" t="s">
        <v>77</v>
      </c>
      <c r="D25" s="8" t="s">
        <v>77</v>
      </c>
      <c r="E25" s="1"/>
      <c r="F25" s="8"/>
    </row>
    <row r="26" spans="1:6" ht="22" customHeight="1" x14ac:dyDescent="0.3">
      <c r="A26">
        <v>24</v>
      </c>
      <c r="B26" t="s">
        <v>215</v>
      </c>
      <c r="C26" s="8" t="s">
        <v>7</v>
      </c>
      <c r="D26" s="8" t="s">
        <v>7</v>
      </c>
      <c r="E26" s="1" t="s">
        <v>216</v>
      </c>
      <c r="F26" s="8" t="s">
        <v>77</v>
      </c>
    </row>
    <row r="27" spans="1:6" ht="22" customHeight="1" x14ac:dyDescent="0.3">
      <c r="A27">
        <v>25</v>
      </c>
      <c r="B27" t="s">
        <v>217</v>
      </c>
      <c r="C27" s="8" t="s">
        <v>7</v>
      </c>
      <c r="D27" s="8" t="s">
        <v>7</v>
      </c>
      <c r="E27" s="1" t="s">
        <v>218</v>
      </c>
      <c r="F27" s="8" t="s">
        <v>7</v>
      </c>
    </row>
    <row r="28" spans="1:6" ht="32.15" customHeight="1" x14ac:dyDescent="0.3">
      <c r="A28">
        <v>26</v>
      </c>
      <c r="B28" t="s">
        <v>219</v>
      </c>
      <c r="C28" s="8" t="s">
        <v>7</v>
      </c>
      <c r="D28" s="8" t="s">
        <v>7</v>
      </c>
      <c r="E28" s="18" t="s">
        <v>220</v>
      </c>
      <c r="F28" s="8" t="s">
        <v>7</v>
      </c>
    </row>
    <row r="29" spans="1:6" ht="22" customHeight="1" x14ac:dyDescent="0.3">
      <c r="A29">
        <v>27</v>
      </c>
      <c r="B29" t="s">
        <v>221</v>
      </c>
      <c r="C29" s="8" t="s">
        <v>77</v>
      </c>
      <c r="D29" s="8" t="s">
        <v>77</v>
      </c>
      <c r="E29" s="1"/>
      <c r="F29" s="8"/>
    </row>
    <row r="30" spans="1:6" ht="22" customHeight="1" x14ac:dyDescent="0.3">
      <c r="A30">
        <v>28</v>
      </c>
      <c r="B30" t="s">
        <v>62</v>
      </c>
      <c r="C30" s="8" t="s">
        <v>7</v>
      </c>
      <c r="D30" s="8" t="s">
        <v>7</v>
      </c>
      <c r="E30" s="1" t="s">
        <v>222</v>
      </c>
      <c r="F30" s="8" t="s">
        <v>7</v>
      </c>
    </row>
    <row r="31" spans="1:6" ht="22" customHeight="1" x14ac:dyDescent="0.3">
      <c r="A31">
        <v>29</v>
      </c>
      <c r="B31" t="s">
        <v>223</v>
      </c>
      <c r="C31" s="7" t="s">
        <v>7</v>
      </c>
      <c r="D31" s="7" t="s">
        <v>7</v>
      </c>
      <c r="E31" s="1" t="s">
        <v>224</v>
      </c>
      <c r="F31" s="7" t="s">
        <v>7</v>
      </c>
    </row>
    <row r="32" spans="1:6" ht="22" customHeight="1" x14ac:dyDescent="0.3">
      <c r="A32">
        <v>30</v>
      </c>
      <c r="B32" t="s">
        <v>225</v>
      </c>
      <c r="C32" s="7" t="s">
        <v>77</v>
      </c>
      <c r="D32" s="7" t="s">
        <v>77</v>
      </c>
      <c r="E32" s="1"/>
      <c r="F32" s="7"/>
    </row>
    <row r="33" spans="1:6" s="3" customFormat="1" ht="22" customHeight="1" thickBot="1" x14ac:dyDescent="0.35">
      <c r="B33" s="2" t="s">
        <v>226</v>
      </c>
      <c r="C33" s="2"/>
      <c r="D33" s="6"/>
      <c r="E33" s="2"/>
      <c r="F33" s="6"/>
    </row>
    <row r="34" spans="1:6" ht="22" customHeight="1" thickTop="1" x14ac:dyDescent="0.3">
      <c r="A34">
        <f>A32+1</f>
        <v>31</v>
      </c>
      <c r="B34" s="1" t="s">
        <v>227</v>
      </c>
      <c r="C34" s="5" t="s">
        <v>7</v>
      </c>
      <c r="D34" s="8" t="s">
        <v>7</v>
      </c>
      <c r="E34" s="23" t="s">
        <v>228</v>
      </c>
      <c r="F34" s="8" t="s">
        <v>7</v>
      </c>
    </row>
    <row r="35" spans="1:6" ht="22" customHeight="1" x14ac:dyDescent="0.3">
      <c r="A35">
        <f>1+A34</f>
        <v>32</v>
      </c>
      <c r="B35" s="1" t="s">
        <v>229</v>
      </c>
      <c r="C35" s="8" t="s">
        <v>7</v>
      </c>
      <c r="D35" s="8" t="s">
        <v>7</v>
      </c>
      <c r="E35" s="1" t="s">
        <v>230</v>
      </c>
      <c r="F35" s="8" t="s">
        <v>7</v>
      </c>
    </row>
    <row r="36" spans="1:6" ht="22" customHeight="1" x14ac:dyDescent="0.3">
      <c r="A36">
        <f>1+A35</f>
        <v>33</v>
      </c>
      <c r="B36" s="1" t="s">
        <v>231</v>
      </c>
      <c r="C36" s="8" t="s">
        <v>7</v>
      </c>
      <c r="D36" s="8" t="s">
        <v>7</v>
      </c>
      <c r="E36" s="1" t="s">
        <v>232</v>
      </c>
      <c r="F36" s="8" t="s">
        <v>7</v>
      </c>
    </row>
    <row r="37" spans="1:6" ht="22" customHeight="1" x14ac:dyDescent="0.3">
      <c r="A37">
        <f>A34+1</f>
        <v>32</v>
      </c>
      <c r="B37" t="s">
        <v>233</v>
      </c>
      <c r="C37" s="8" t="s">
        <v>7</v>
      </c>
      <c r="D37" s="8" t="s">
        <v>7</v>
      </c>
      <c r="E37" s="1" t="s">
        <v>234</v>
      </c>
      <c r="F37" s="8" t="s">
        <v>7</v>
      </c>
    </row>
    <row r="38" spans="1:6" s="3" customFormat="1" ht="22" customHeight="1" thickBot="1" x14ac:dyDescent="0.35">
      <c r="B38" s="2" t="s">
        <v>235</v>
      </c>
      <c r="C38" s="2"/>
      <c r="D38" s="6"/>
      <c r="E38" s="2"/>
      <c r="F38" s="6"/>
    </row>
    <row r="39" spans="1:6" ht="147.65" customHeight="1" thickTop="1" x14ac:dyDescent="0.3">
      <c r="A39">
        <f>A37+1</f>
        <v>33</v>
      </c>
      <c r="B39" s="1" t="s">
        <v>73</v>
      </c>
      <c r="C39" s="5" t="s">
        <v>7</v>
      </c>
      <c r="D39" s="8" t="s">
        <v>7</v>
      </c>
      <c r="E39" s="1" t="s">
        <v>236</v>
      </c>
      <c r="F39" s="8" t="s">
        <v>7</v>
      </c>
    </row>
    <row r="40" spans="1:6" ht="22" customHeight="1" x14ac:dyDescent="0.3">
      <c r="A40">
        <f t="shared" ref="A40:A46" si="0">1+A39</f>
        <v>34</v>
      </c>
      <c r="B40" s="1" t="s">
        <v>237</v>
      </c>
      <c r="C40" s="8" t="s">
        <v>77</v>
      </c>
      <c r="D40" s="8" t="s">
        <v>77</v>
      </c>
      <c r="E40" s="1"/>
      <c r="F40" s="8"/>
    </row>
    <row r="41" spans="1:6" ht="22" customHeight="1" x14ac:dyDescent="0.3">
      <c r="A41">
        <f t="shared" si="0"/>
        <v>35</v>
      </c>
      <c r="B41" s="1" t="s">
        <v>98</v>
      </c>
      <c r="C41" s="8" t="s">
        <v>7</v>
      </c>
      <c r="D41" s="8" t="s">
        <v>7</v>
      </c>
      <c r="E41" s="18" t="s">
        <v>238</v>
      </c>
      <c r="F41" s="8" t="s">
        <v>7</v>
      </c>
    </row>
    <row r="42" spans="1:6" ht="22" customHeight="1" x14ac:dyDescent="0.3">
      <c r="A42">
        <f t="shared" si="0"/>
        <v>36</v>
      </c>
      <c r="B42" s="1" t="s">
        <v>239</v>
      </c>
      <c r="C42" s="8" t="s">
        <v>7</v>
      </c>
      <c r="D42" s="8" t="s">
        <v>7</v>
      </c>
      <c r="E42" s="18" t="s">
        <v>240</v>
      </c>
      <c r="F42" s="8" t="s">
        <v>7</v>
      </c>
    </row>
    <row r="43" spans="1:6" ht="22" customHeight="1" x14ac:dyDescent="0.3">
      <c r="A43">
        <f t="shared" si="0"/>
        <v>37</v>
      </c>
      <c r="B43" s="1" t="s">
        <v>102</v>
      </c>
      <c r="C43" s="8" t="s">
        <v>7</v>
      </c>
      <c r="D43" s="8" t="s">
        <v>7</v>
      </c>
      <c r="E43" s="19" t="s">
        <v>241</v>
      </c>
      <c r="F43" s="8" t="s">
        <v>7</v>
      </c>
    </row>
    <row r="44" spans="1:6" ht="22" customHeight="1" x14ac:dyDescent="0.3">
      <c r="A44">
        <f t="shared" si="0"/>
        <v>38</v>
      </c>
      <c r="B44" s="1" t="s">
        <v>94</v>
      </c>
      <c r="C44" s="8" t="s">
        <v>7</v>
      </c>
      <c r="D44" s="8" t="s">
        <v>7</v>
      </c>
      <c r="E44" s="18" t="s">
        <v>242</v>
      </c>
      <c r="F44" s="8" t="s">
        <v>7</v>
      </c>
    </row>
    <row r="45" spans="1:6" ht="22" customHeight="1" x14ac:dyDescent="0.3">
      <c r="A45">
        <f t="shared" si="0"/>
        <v>39</v>
      </c>
      <c r="B45" s="1" t="s">
        <v>96</v>
      </c>
      <c r="C45" s="8" t="s">
        <v>7</v>
      </c>
      <c r="D45" s="8" t="s">
        <v>7</v>
      </c>
      <c r="E45" s="18" t="s">
        <v>243</v>
      </c>
      <c r="F45" s="8" t="s">
        <v>7</v>
      </c>
    </row>
    <row r="46" spans="1:6" s="17" customFormat="1" ht="22" customHeight="1" x14ac:dyDescent="0.3">
      <c r="A46" s="17">
        <f t="shared" si="0"/>
        <v>40</v>
      </c>
      <c r="B46" s="17" t="s">
        <v>244</v>
      </c>
      <c r="C46" s="12" t="s">
        <v>77</v>
      </c>
      <c r="D46" s="12" t="s">
        <v>77</v>
      </c>
      <c r="E46" s="11"/>
      <c r="F46" s="12"/>
    </row>
    <row r="47" spans="1:6" s="3" customFormat="1" ht="22" customHeight="1" thickBot="1" x14ac:dyDescent="0.35">
      <c r="B47" s="2" t="s">
        <v>245</v>
      </c>
      <c r="C47" s="2"/>
      <c r="D47" s="6"/>
      <c r="E47" s="2"/>
      <c r="F47" s="6"/>
    </row>
    <row r="48" spans="1:6" ht="22" customHeight="1" thickTop="1" x14ac:dyDescent="0.3">
      <c r="A48">
        <f>A45+1</f>
        <v>40</v>
      </c>
      <c r="B48" s="1" t="s">
        <v>116</v>
      </c>
      <c r="C48" s="5" t="s">
        <v>7</v>
      </c>
      <c r="D48" s="8" t="s">
        <v>7</v>
      </c>
      <c r="E48" s="1" t="s">
        <v>246</v>
      </c>
      <c r="F48" s="8" t="s">
        <v>77</v>
      </c>
    </row>
    <row r="49" spans="1:6" ht="22" customHeight="1" x14ac:dyDescent="0.3">
      <c r="A49">
        <f>1+A48</f>
        <v>41</v>
      </c>
      <c r="B49" s="1" t="s">
        <v>120</v>
      </c>
      <c r="C49" s="8" t="s">
        <v>7</v>
      </c>
      <c r="D49" s="8" t="s">
        <v>7</v>
      </c>
      <c r="E49" s="1" t="s">
        <v>247</v>
      </c>
      <c r="F49" s="8" t="s">
        <v>77</v>
      </c>
    </row>
    <row r="50" spans="1:6" ht="22" customHeight="1" x14ac:dyDescent="0.3">
      <c r="A50">
        <f>1+A49</f>
        <v>42</v>
      </c>
      <c r="B50" s="1" t="s">
        <v>248</v>
      </c>
      <c r="C50" s="7" t="s">
        <v>7</v>
      </c>
      <c r="D50" s="8" t="s">
        <v>7</v>
      </c>
      <c r="E50" s="1" t="s">
        <v>249</v>
      </c>
      <c r="F50" s="8" t="s">
        <v>77</v>
      </c>
    </row>
    <row r="51" spans="1:6" x14ac:dyDescent="0.3">
      <c r="B51" s="1"/>
      <c r="C51" s="1"/>
      <c r="D51" s="1"/>
      <c r="E51" s="1"/>
      <c r="F51" s="1"/>
    </row>
  </sheetData>
  <phoneticPr fontId="6" type="noConversion"/>
  <conditionalFormatting sqref="C2:C22 D3:D22 C23:D23 D24:D32 C24:C45 D34:D37 C46:D46 C47:C50">
    <cfRule type="containsText" dxfId="70" priority="29" operator="containsText" text="Yes">
      <formula>NOT(ISERROR(SEARCH("Yes",C2)))</formula>
    </cfRule>
    <cfRule type="containsText" dxfId="69" priority="30" operator="containsText" text="No">
      <formula>NOT(ISERROR(SEARCH("No",C2)))</formula>
    </cfRule>
  </conditionalFormatting>
  <conditionalFormatting sqref="C2:D51">
    <cfRule type="containsText" dxfId="68" priority="9" operator="containsText" text="No">
      <formula>NOT(ISERROR(SEARCH("No",C2)))</formula>
    </cfRule>
    <cfRule type="containsText" dxfId="67" priority="31" operator="containsText" text="Yes">
      <formula>NOT(ISERROR(SEARCH("Yes",C2)))</formula>
    </cfRule>
  </conditionalFormatting>
  <conditionalFormatting sqref="D38 D47">
    <cfRule type="containsText" dxfId="66" priority="28" operator="containsText" text="Uploaded">
      <formula>NOT(ISERROR(SEARCH("Uploaded",D38)))</formula>
    </cfRule>
  </conditionalFormatting>
  <conditionalFormatting sqref="D39:D45">
    <cfRule type="containsText" dxfId="65" priority="7" operator="containsText" text="Yes">
      <formula>NOT(ISERROR(SEARCH("Yes",D39)))</formula>
    </cfRule>
    <cfRule type="containsText" dxfId="64" priority="8" operator="containsText" text="No">
      <formula>NOT(ISERROR(SEARCH("No",D39)))</formula>
    </cfRule>
  </conditionalFormatting>
  <conditionalFormatting sqref="D48:D50">
    <cfRule type="containsText" dxfId="63" priority="1" operator="containsText" text="Yes">
      <formula>NOT(ISERROR(SEARCH("Yes",D48)))</formula>
    </cfRule>
    <cfRule type="containsText" dxfId="62" priority="2" operator="containsText" text="No">
      <formula>NOT(ISERROR(SEARCH("No",D48)))</formula>
    </cfRule>
  </conditionalFormatting>
  <conditionalFormatting sqref="F2:F51">
    <cfRule type="containsText" dxfId="61" priority="10" operator="containsText" text="Yes">
      <formula>NOT(ISERROR(SEARCH("Yes",F2)))</formula>
    </cfRule>
    <cfRule type="containsText" dxfId="60" priority="11" operator="containsText" text="No">
      <formula>NOT(ISERROR(SEARCH("No",F2)))</formula>
    </cfRule>
  </conditionalFormatting>
  <dataValidations count="2">
    <dataValidation type="list" showInputMessage="1" showErrorMessage="1" sqref="C2:C6 C7:D32 C33:C50 D3:D6 D34:D37 D39:D46 D48:D50" xr:uid="{00000000-0002-0000-0000-000000000000}">
      <formula1>"Yes,No"</formula1>
    </dataValidation>
    <dataValidation type="list" sqref="C2:D51 F2:F51" xr:uid="{00000000-0002-0000-0000-000001000000}">
      <formula1>"Yes,No"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0"/>
  <sheetViews>
    <sheetView zoomScale="85" zoomScaleNormal="85" workbookViewId="0">
      <selection activeCell="I167" sqref="I167"/>
    </sheetView>
  </sheetViews>
  <sheetFormatPr defaultColWidth="8.75" defaultRowHeight="14" x14ac:dyDescent="0.3"/>
  <cols>
    <col min="2" max="2" width="38" style="22" customWidth="1"/>
    <col min="3" max="4" width="14" style="22" customWidth="1"/>
    <col min="5" max="5" width="120" style="22" customWidth="1"/>
    <col min="6" max="6" width="14" style="22" customWidth="1"/>
  </cols>
  <sheetData>
    <row r="1" spans="1:6" ht="18.75" customHeight="1" x14ac:dyDescent="0.3">
      <c r="B1" s="4" t="s">
        <v>250</v>
      </c>
      <c r="C1" s="4" t="s">
        <v>1</v>
      </c>
      <c r="D1" s="4" t="s">
        <v>2</v>
      </c>
      <c r="E1" s="4" t="s">
        <v>3</v>
      </c>
      <c r="F1" s="4" t="s">
        <v>4</v>
      </c>
    </row>
    <row r="2" spans="1:6" s="3" customFormat="1" ht="22" customHeight="1" thickBot="1" x14ac:dyDescent="0.35">
      <c r="B2" s="2" t="s">
        <v>177</v>
      </c>
      <c r="C2" s="9"/>
      <c r="D2" s="6"/>
      <c r="E2" s="2"/>
      <c r="F2" s="6"/>
    </row>
    <row r="3" spans="1:6" ht="22" customHeight="1" thickTop="1" x14ac:dyDescent="0.3">
      <c r="A3">
        <v>1</v>
      </c>
      <c r="B3" t="s">
        <v>181</v>
      </c>
      <c r="C3" s="8" t="s">
        <v>7</v>
      </c>
      <c r="D3" s="8" t="s">
        <v>7</v>
      </c>
      <c r="E3" s="1" t="s">
        <v>251</v>
      </c>
      <c r="F3" s="8" t="s">
        <v>7</v>
      </c>
    </row>
    <row r="4" spans="1:6" ht="22" customHeight="1" x14ac:dyDescent="0.3">
      <c r="A4">
        <v>2</v>
      </c>
      <c r="B4" s="1" t="s">
        <v>252</v>
      </c>
      <c r="C4" s="8" t="s">
        <v>7</v>
      </c>
      <c r="D4" s="8" t="s">
        <v>7</v>
      </c>
      <c r="E4" s="1" t="s">
        <v>253</v>
      </c>
      <c r="F4" s="8" t="s">
        <v>7</v>
      </c>
    </row>
    <row r="5" spans="1:6" ht="22" customHeight="1" x14ac:dyDescent="0.3">
      <c r="A5">
        <v>3</v>
      </c>
      <c r="B5" s="1" t="s">
        <v>254</v>
      </c>
      <c r="C5" s="8" t="s">
        <v>7</v>
      </c>
      <c r="D5" s="8" t="s">
        <v>7</v>
      </c>
      <c r="E5" s="1" t="s">
        <v>255</v>
      </c>
      <c r="F5" s="8" t="s">
        <v>7</v>
      </c>
    </row>
    <row r="6" spans="1:6" ht="22" customHeight="1" x14ac:dyDescent="0.3">
      <c r="A6">
        <v>4</v>
      </c>
      <c r="B6" s="1" t="s">
        <v>187</v>
      </c>
      <c r="C6" s="8" t="s">
        <v>7</v>
      </c>
      <c r="D6" s="8" t="s">
        <v>7</v>
      </c>
      <c r="E6" s="1" t="s">
        <v>256</v>
      </c>
      <c r="F6" s="8" t="s">
        <v>7</v>
      </c>
    </row>
    <row r="7" spans="1:6" ht="22" customHeight="1" x14ac:dyDescent="0.3">
      <c r="A7">
        <v>5</v>
      </c>
      <c r="B7" s="1" t="s">
        <v>257</v>
      </c>
      <c r="C7" s="8" t="s">
        <v>7</v>
      </c>
      <c r="D7" s="8" t="s">
        <v>7</v>
      </c>
      <c r="E7" s="1" t="s">
        <v>258</v>
      </c>
      <c r="F7" s="8" t="s">
        <v>7</v>
      </c>
    </row>
    <row r="8" spans="1:6" ht="22" customHeight="1" x14ac:dyDescent="0.3">
      <c r="A8">
        <v>6</v>
      </c>
      <c r="B8" s="1" t="s">
        <v>259</v>
      </c>
      <c r="C8" s="8" t="s">
        <v>7</v>
      </c>
      <c r="D8" s="8" t="s">
        <v>7</v>
      </c>
      <c r="E8" s="1" t="s">
        <v>260</v>
      </c>
      <c r="F8" s="8" t="s">
        <v>7</v>
      </c>
    </row>
    <row r="9" spans="1:6" ht="22" customHeight="1" x14ac:dyDescent="0.3">
      <c r="A9">
        <v>7</v>
      </c>
      <c r="B9" s="1" t="s">
        <v>261</v>
      </c>
      <c r="C9" s="8" t="s">
        <v>7</v>
      </c>
      <c r="D9" s="8" t="s">
        <v>7</v>
      </c>
      <c r="E9" s="1" t="s">
        <v>262</v>
      </c>
      <c r="F9" s="8" t="s">
        <v>7</v>
      </c>
    </row>
    <row r="10" spans="1:6" ht="22" customHeight="1" x14ac:dyDescent="0.3">
      <c r="A10">
        <v>8</v>
      </c>
      <c r="B10" s="1" t="s">
        <v>263</v>
      </c>
      <c r="C10" s="8" t="s">
        <v>7</v>
      </c>
      <c r="D10" s="8" t="s">
        <v>7</v>
      </c>
      <c r="E10" s="1" t="s">
        <v>264</v>
      </c>
      <c r="F10" s="8" t="s">
        <v>7</v>
      </c>
    </row>
    <row r="11" spans="1:6" ht="22" customHeight="1" x14ac:dyDescent="0.3">
      <c r="A11">
        <v>9</v>
      </c>
      <c r="B11" s="1" t="s">
        <v>265</v>
      </c>
      <c r="C11" s="8" t="s">
        <v>7</v>
      </c>
      <c r="D11" s="8" t="s">
        <v>7</v>
      </c>
      <c r="E11" s="1" t="s">
        <v>266</v>
      </c>
      <c r="F11" s="8" t="s">
        <v>7</v>
      </c>
    </row>
    <row r="12" spans="1:6" ht="22" customHeight="1" x14ac:dyDescent="0.3">
      <c r="A12">
        <v>10</v>
      </c>
      <c r="B12" s="1" t="s">
        <v>267</v>
      </c>
      <c r="C12" s="8" t="s">
        <v>7</v>
      </c>
      <c r="D12" s="8" t="s">
        <v>7</v>
      </c>
      <c r="E12" t="s">
        <v>268</v>
      </c>
      <c r="F12" s="8" t="s">
        <v>7</v>
      </c>
    </row>
    <row r="13" spans="1:6" ht="22" customHeight="1" x14ac:dyDescent="0.3">
      <c r="A13">
        <v>11</v>
      </c>
      <c r="B13" s="1" t="s">
        <v>269</v>
      </c>
      <c r="C13" s="8" t="s">
        <v>7</v>
      </c>
      <c r="D13" s="8" t="s">
        <v>7</v>
      </c>
      <c r="E13" s="1" t="s">
        <v>270</v>
      </c>
      <c r="F13" s="8" t="s">
        <v>7</v>
      </c>
    </row>
    <row r="14" spans="1:6" ht="22" customHeight="1" x14ac:dyDescent="0.3">
      <c r="A14">
        <v>12</v>
      </c>
      <c r="B14" t="s">
        <v>271</v>
      </c>
      <c r="C14" s="8" t="s">
        <v>7</v>
      </c>
      <c r="D14" s="8" t="s">
        <v>7</v>
      </c>
      <c r="E14" s="1" t="s">
        <v>272</v>
      </c>
      <c r="F14" s="8" t="s">
        <v>7</v>
      </c>
    </row>
    <row r="15" spans="1:6" ht="22" customHeight="1" x14ac:dyDescent="0.3">
      <c r="A15">
        <v>13</v>
      </c>
      <c r="B15" t="s">
        <v>273</v>
      </c>
      <c r="C15" s="8" t="s">
        <v>7</v>
      </c>
      <c r="D15" s="8" t="s">
        <v>7</v>
      </c>
      <c r="E15" s="1" t="s">
        <v>274</v>
      </c>
      <c r="F15" s="8" t="s">
        <v>7</v>
      </c>
    </row>
    <row r="16" spans="1:6" ht="22" customHeight="1" x14ac:dyDescent="0.3">
      <c r="A16">
        <v>14</v>
      </c>
      <c r="B16" t="s">
        <v>275</v>
      </c>
      <c r="C16" s="8" t="s">
        <v>7</v>
      </c>
      <c r="D16" s="8" t="s">
        <v>7</v>
      </c>
      <c r="E16" s="1" t="s">
        <v>276</v>
      </c>
      <c r="F16" s="8" t="s">
        <v>7</v>
      </c>
    </row>
    <row r="17" spans="1:6" ht="22" customHeight="1" x14ac:dyDescent="0.3">
      <c r="A17">
        <v>15</v>
      </c>
      <c r="B17" t="s">
        <v>277</v>
      </c>
      <c r="C17" s="8" t="s">
        <v>7</v>
      </c>
      <c r="D17" s="8" t="s">
        <v>7</v>
      </c>
      <c r="E17" s="1" t="s">
        <v>278</v>
      </c>
      <c r="F17" s="8" t="s">
        <v>7</v>
      </c>
    </row>
    <row r="18" spans="1:6" ht="22" customHeight="1" x14ac:dyDescent="0.3">
      <c r="A18">
        <v>16</v>
      </c>
      <c r="B18" t="s">
        <v>279</v>
      </c>
      <c r="C18" s="8" t="s">
        <v>7</v>
      </c>
      <c r="D18" s="8" t="s">
        <v>7</v>
      </c>
      <c r="E18" s="1" t="s">
        <v>280</v>
      </c>
      <c r="F18" s="8" t="s">
        <v>7</v>
      </c>
    </row>
    <row r="19" spans="1:6" ht="22" customHeight="1" x14ac:dyDescent="0.3">
      <c r="A19">
        <v>17</v>
      </c>
      <c r="B19" t="s">
        <v>281</v>
      </c>
      <c r="C19" s="8" t="s">
        <v>7</v>
      </c>
      <c r="D19" s="8" t="s">
        <v>7</v>
      </c>
      <c r="E19" s="1" t="s">
        <v>282</v>
      </c>
      <c r="F19" s="8" t="s">
        <v>7</v>
      </c>
    </row>
    <row r="20" spans="1:6" ht="22" customHeight="1" x14ac:dyDescent="0.3">
      <c r="A20">
        <v>18</v>
      </c>
      <c r="B20" t="s">
        <v>283</v>
      </c>
      <c r="C20" s="8" t="s">
        <v>7</v>
      </c>
      <c r="D20" s="8" t="s">
        <v>7</v>
      </c>
      <c r="E20" s="1" t="s">
        <v>284</v>
      </c>
      <c r="F20" s="8" t="s">
        <v>7</v>
      </c>
    </row>
    <row r="21" spans="1:6" ht="22" customHeight="1" x14ac:dyDescent="0.3">
      <c r="A21">
        <v>19</v>
      </c>
      <c r="B21" t="s">
        <v>285</v>
      </c>
      <c r="C21" s="8" t="s">
        <v>7</v>
      </c>
      <c r="D21" s="8" t="s">
        <v>7</v>
      </c>
      <c r="E21" s="1" t="s">
        <v>286</v>
      </c>
      <c r="F21" s="8" t="s">
        <v>7</v>
      </c>
    </row>
    <row r="22" spans="1:6" ht="22" customHeight="1" x14ac:dyDescent="0.3">
      <c r="A22">
        <v>20</v>
      </c>
      <c r="B22" t="s">
        <v>287</v>
      </c>
      <c r="C22" s="8" t="s">
        <v>7</v>
      </c>
      <c r="D22" s="8" t="s">
        <v>7</v>
      </c>
      <c r="E22" s="23" t="s">
        <v>288</v>
      </c>
      <c r="F22" s="8" t="s">
        <v>7</v>
      </c>
    </row>
    <row r="23" spans="1:6" ht="22" customHeight="1" x14ac:dyDescent="0.3">
      <c r="A23">
        <v>21</v>
      </c>
      <c r="B23" t="s">
        <v>289</v>
      </c>
      <c r="C23" s="8" t="s">
        <v>7</v>
      </c>
      <c r="D23" s="8" t="s">
        <v>7</v>
      </c>
      <c r="E23" s="1" t="s">
        <v>290</v>
      </c>
      <c r="F23" s="8" t="s">
        <v>7</v>
      </c>
    </row>
    <row r="24" spans="1:6" ht="22" customHeight="1" x14ac:dyDescent="0.3">
      <c r="A24">
        <v>22</v>
      </c>
      <c r="B24" t="s">
        <v>291</v>
      </c>
      <c r="C24" s="8" t="s">
        <v>7</v>
      </c>
      <c r="D24" s="8" t="s">
        <v>7</v>
      </c>
      <c r="E24" s="1" t="s">
        <v>292</v>
      </c>
      <c r="F24" s="8" t="s">
        <v>7</v>
      </c>
    </row>
    <row r="25" spans="1:6" ht="22" customHeight="1" x14ac:dyDescent="0.3">
      <c r="A25">
        <v>23</v>
      </c>
      <c r="B25" s="1" t="s">
        <v>70</v>
      </c>
      <c r="C25" s="8" t="s">
        <v>7</v>
      </c>
      <c r="D25" s="8" t="s">
        <v>7</v>
      </c>
      <c r="E25" s="1" t="s">
        <v>67</v>
      </c>
      <c r="F25" s="8" t="s">
        <v>7</v>
      </c>
    </row>
    <row r="26" spans="1:6" ht="40.5" customHeight="1" x14ac:dyDescent="0.3">
      <c r="A26">
        <v>24</v>
      </c>
      <c r="B26" t="s">
        <v>293</v>
      </c>
      <c r="C26" s="8" t="s">
        <v>7</v>
      </c>
      <c r="D26" s="8" t="s">
        <v>7</v>
      </c>
      <c r="E26" s="1" t="s">
        <v>294</v>
      </c>
      <c r="F26" s="8" t="s">
        <v>7</v>
      </c>
    </row>
    <row r="27" spans="1:6" ht="22" customHeight="1" x14ac:dyDescent="0.3">
      <c r="A27">
        <v>25</v>
      </c>
      <c r="B27" t="s">
        <v>295</v>
      </c>
      <c r="C27" s="8" t="s">
        <v>7</v>
      </c>
      <c r="D27" s="8" t="s">
        <v>7</v>
      </c>
      <c r="E27" s="1" t="s">
        <v>296</v>
      </c>
      <c r="F27" s="8" t="s">
        <v>7</v>
      </c>
    </row>
    <row r="28" spans="1:6" ht="22" customHeight="1" x14ac:dyDescent="0.3">
      <c r="A28">
        <v>26</v>
      </c>
      <c r="B28" t="s">
        <v>297</v>
      </c>
      <c r="C28" s="8" t="s">
        <v>77</v>
      </c>
      <c r="D28" s="8" t="s">
        <v>77</v>
      </c>
      <c r="E28" s="1"/>
      <c r="F28" s="8"/>
    </row>
    <row r="29" spans="1:6" ht="22" customHeight="1" x14ac:dyDescent="0.3">
      <c r="A29">
        <v>27</v>
      </c>
      <c r="B29" t="s">
        <v>298</v>
      </c>
      <c r="C29" s="8" t="s">
        <v>7</v>
      </c>
      <c r="D29" s="8" t="s">
        <v>7</v>
      </c>
      <c r="E29" s="1" t="s">
        <v>299</v>
      </c>
      <c r="F29" s="8" t="s">
        <v>77</v>
      </c>
    </row>
    <row r="30" spans="1:6" ht="22" customHeight="1" x14ac:dyDescent="0.3">
      <c r="A30">
        <v>28</v>
      </c>
      <c r="B30" t="s">
        <v>300</v>
      </c>
      <c r="C30" s="8" t="s">
        <v>7</v>
      </c>
      <c r="D30" s="8" t="s">
        <v>7</v>
      </c>
      <c r="E30" s="1" t="s">
        <v>301</v>
      </c>
      <c r="F30" s="8" t="s">
        <v>7</v>
      </c>
    </row>
    <row r="31" spans="1:6" ht="22" customHeight="1" x14ac:dyDescent="0.3">
      <c r="A31">
        <v>29</v>
      </c>
      <c r="B31" t="s">
        <v>302</v>
      </c>
      <c r="C31" s="8" t="s">
        <v>77</v>
      </c>
      <c r="D31" s="8" t="s">
        <v>77</v>
      </c>
      <c r="E31" s="1"/>
      <c r="F31" s="8"/>
    </row>
    <row r="32" spans="1:6" ht="22" customHeight="1" x14ac:dyDescent="0.3">
      <c r="A32">
        <v>30</v>
      </c>
      <c r="B32" t="s">
        <v>303</v>
      </c>
      <c r="C32" s="8" t="s">
        <v>7</v>
      </c>
      <c r="D32" s="8" t="s">
        <v>7</v>
      </c>
      <c r="E32" s="1" t="s">
        <v>304</v>
      </c>
      <c r="F32" s="8" t="s">
        <v>7</v>
      </c>
    </row>
    <row r="33" spans="1:6" ht="22" customHeight="1" x14ac:dyDescent="0.3">
      <c r="A33">
        <v>31</v>
      </c>
      <c r="B33" t="s">
        <v>305</v>
      </c>
      <c r="C33" s="8" t="s">
        <v>7</v>
      </c>
      <c r="D33" s="8" t="s">
        <v>7</v>
      </c>
      <c r="E33" s="1" t="s">
        <v>306</v>
      </c>
      <c r="F33" s="8" t="s">
        <v>7</v>
      </c>
    </row>
    <row r="34" spans="1:6" ht="22" customHeight="1" x14ac:dyDescent="0.3">
      <c r="A34">
        <v>32</v>
      </c>
      <c r="B34" t="s">
        <v>307</v>
      </c>
      <c r="C34" s="8" t="s">
        <v>7</v>
      </c>
      <c r="D34" s="8" t="s">
        <v>7</v>
      </c>
      <c r="E34" s="1" t="s">
        <v>308</v>
      </c>
      <c r="F34" s="8" t="s">
        <v>7</v>
      </c>
    </row>
    <row r="35" spans="1:6" ht="22" customHeight="1" x14ac:dyDescent="0.3">
      <c r="A35">
        <v>33</v>
      </c>
      <c r="B35" t="s">
        <v>309</v>
      </c>
      <c r="C35" s="8" t="s">
        <v>7</v>
      </c>
      <c r="D35" s="8" t="s">
        <v>7</v>
      </c>
      <c r="E35" s="1" t="s">
        <v>310</v>
      </c>
      <c r="F35" s="8" t="s">
        <v>7</v>
      </c>
    </row>
    <row r="36" spans="1:6" ht="22" customHeight="1" x14ac:dyDescent="0.3">
      <c r="A36">
        <v>34</v>
      </c>
      <c r="B36" t="s">
        <v>311</v>
      </c>
      <c r="C36" s="8" t="s">
        <v>7</v>
      </c>
      <c r="D36" s="8" t="s">
        <v>7</v>
      </c>
      <c r="E36" s="1" t="s">
        <v>312</v>
      </c>
      <c r="F36" s="8" t="s">
        <v>7</v>
      </c>
    </row>
    <row r="37" spans="1:6" ht="22" customHeight="1" x14ac:dyDescent="0.3">
      <c r="A37">
        <v>35</v>
      </c>
      <c r="B37" t="s">
        <v>313</v>
      </c>
      <c r="C37" s="8" t="s">
        <v>7</v>
      </c>
      <c r="D37" s="8" t="s">
        <v>7</v>
      </c>
      <c r="E37" s="1" t="s">
        <v>314</v>
      </c>
      <c r="F37" s="8" t="s">
        <v>7</v>
      </c>
    </row>
    <row r="38" spans="1:6" ht="22" customHeight="1" x14ac:dyDescent="0.3">
      <c r="A38">
        <v>35</v>
      </c>
      <c r="B38" t="s">
        <v>315</v>
      </c>
      <c r="C38" s="8" t="s">
        <v>77</v>
      </c>
      <c r="D38" s="8" t="s">
        <v>77</v>
      </c>
      <c r="E38" s="1"/>
      <c r="F38" s="8"/>
    </row>
    <row r="39" spans="1:6" ht="22" customHeight="1" x14ac:dyDescent="0.3">
      <c r="A39">
        <v>36</v>
      </c>
      <c r="B39" t="s">
        <v>316</v>
      </c>
      <c r="C39" s="8" t="s">
        <v>7</v>
      </c>
      <c r="D39" s="8" t="s">
        <v>7</v>
      </c>
      <c r="E39" s="1" t="s">
        <v>317</v>
      </c>
      <c r="F39" s="8" t="s">
        <v>7</v>
      </c>
    </row>
    <row r="40" spans="1:6" ht="22" customHeight="1" x14ac:dyDescent="0.3">
      <c r="A40">
        <v>37</v>
      </c>
      <c r="B40" t="s">
        <v>318</v>
      </c>
      <c r="C40" s="8" t="s">
        <v>7</v>
      </c>
      <c r="D40" s="8" t="s">
        <v>7</v>
      </c>
      <c r="E40" s="1" t="s">
        <v>319</v>
      </c>
      <c r="F40" s="8" t="s">
        <v>7</v>
      </c>
    </row>
    <row r="41" spans="1:6" ht="22" customHeight="1" x14ac:dyDescent="0.3">
      <c r="A41">
        <v>38</v>
      </c>
      <c r="B41" t="s">
        <v>320</v>
      </c>
      <c r="C41" s="8" t="s">
        <v>7</v>
      </c>
      <c r="D41" s="8" t="s">
        <v>7</v>
      </c>
      <c r="E41" s="1" t="s">
        <v>321</v>
      </c>
      <c r="F41" s="8" t="s">
        <v>7</v>
      </c>
    </row>
    <row r="42" spans="1:6" ht="22" customHeight="1" x14ac:dyDescent="0.3">
      <c r="A42">
        <v>39</v>
      </c>
      <c r="B42" t="s">
        <v>322</v>
      </c>
      <c r="C42" s="8" t="s">
        <v>7</v>
      </c>
      <c r="D42" s="8" t="s">
        <v>7</v>
      </c>
      <c r="E42" s="1" t="s">
        <v>323</v>
      </c>
      <c r="F42" s="8" t="s">
        <v>7</v>
      </c>
    </row>
    <row r="43" spans="1:6" ht="22" customHeight="1" x14ac:dyDescent="0.3">
      <c r="A43">
        <v>40</v>
      </c>
      <c r="B43" t="s">
        <v>324</v>
      </c>
      <c r="C43" s="8" t="s">
        <v>7</v>
      </c>
      <c r="D43" s="8" t="s">
        <v>7</v>
      </c>
      <c r="E43" s="1" t="s">
        <v>325</v>
      </c>
      <c r="F43" s="8" t="s">
        <v>7</v>
      </c>
    </row>
    <row r="44" spans="1:6" ht="22" customHeight="1" x14ac:dyDescent="0.3">
      <c r="A44">
        <v>41</v>
      </c>
      <c r="B44" t="s">
        <v>326</v>
      </c>
      <c r="C44" s="8" t="s">
        <v>7</v>
      </c>
      <c r="D44" s="8" t="s">
        <v>7</v>
      </c>
      <c r="E44" s="1" t="s">
        <v>327</v>
      </c>
      <c r="F44" s="8" t="s">
        <v>7</v>
      </c>
    </row>
    <row r="45" spans="1:6" ht="22" customHeight="1" x14ac:dyDescent="0.3">
      <c r="B45" t="s">
        <v>328</v>
      </c>
      <c r="C45" s="8" t="s">
        <v>7</v>
      </c>
      <c r="D45" s="8" t="s">
        <v>7</v>
      </c>
      <c r="E45" s="1" t="s">
        <v>329</v>
      </c>
      <c r="F45" s="8" t="s">
        <v>7</v>
      </c>
    </row>
    <row r="46" spans="1:6" ht="22" customHeight="1" x14ac:dyDescent="0.3">
      <c r="B46" t="s">
        <v>330</v>
      </c>
      <c r="C46" s="8" t="s">
        <v>7</v>
      </c>
      <c r="D46" s="8" t="s">
        <v>7</v>
      </c>
      <c r="E46" s="1" t="s">
        <v>331</v>
      </c>
      <c r="F46" s="8" t="s">
        <v>77</v>
      </c>
    </row>
    <row r="47" spans="1:6" ht="22" customHeight="1" x14ac:dyDescent="0.3">
      <c r="B47" t="s">
        <v>332</v>
      </c>
      <c r="C47" s="8" t="s">
        <v>7</v>
      </c>
      <c r="D47" s="8" t="s">
        <v>7</v>
      </c>
      <c r="E47" s="1" t="s">
        <v>333</v>
      </c>
      <c r="F47" s="8" t="s">
        <v>77</v>
      </c>
    </row>
    <row r="48" spans="1:6" ht="22" customHeight="1" x14ac:dyDescent="0.3">
      <c r="A48">
        <v>43</v>
      </c>
      <c r="B48" t="s">
        <v>334</v>
      </c>
      <c r="C48" s="8" t="s">
        <v>7</v>
      </c>
      <c r="D48" s="8" t="s">
        <v>7</v>
      </c>
      <c r="E48" s="1" t="s">
        <v>335</v>
      </c>
      <c r="F48" s="8" t="s">
        <v>7</v>
      </c>
    </row>
    <row r="49" spans="1:6" ht="22" customHeight="1" x14ac:dyDescent="0.3">
      <c r="A49">
        <v>44</v>
      </c>
      <c r="B49" t="s">
        <v>336</v>
      </c>
      <c r="C49" s="8" t="s">
        <v>7</v>
      </c>
      <c r="D49" s="8" t="s">
        <v>7</v>
      </c>
      <c r="E49" s="1" t="s">
        <v>337</v>
      </c>
      <c r="F49" s="8" t="s">
        <v>7</v>
      </c>
    </row>
    <row r="50" spans="1:6" ht="22" customHeight="1" x14ac:dyDescent="0.3">
      <c r="A50">
        <v>45</v>
      </c>
      <c r="B50" t="s">
        <v>338</v>
      </c>
      <c r="C50" s="8" t="s">
        <v>7</v>
      </c>
      <c r="D50" s="8" t="s">
        <v>7</v>
      </c>
      <c r="E50" s="1" t="s">
        <v>339</v>
      </c>
      <c r="F50" s="8" t="s">
        <v>7</v>
      </c>
    </row>
    <row r="51" spans="1:6" ht="22" customHeight="1" x14ac:dyDescent="0.3">
      <c r="B51" t="s">
        <v>340</v>
      </c>
      <c r="C51" s="8" t="s">
        <v>77</v>
      </c>
      <c r="D51" s="8" t="s">
        <v>77</v>
      </c>
      <c r="E51" s="1"/>
      <c r="F51" s="8"/>
    </row>
    <row r="52" spans="1:6" ht="22" customHeight="1" x14ac:dyDescent="0.3">
      <c r="B52" t="s">
        <v>341</v>
      </c>
      <c r="C52" s="8" t="s">
        <v>7</v>
      </c>
      <c r="D52" s="8" t="s">
        <v>7</v>
      </c>
      <c r="E52" s="1" t="s">
        <v>342</v>
      </c>
      <c r="F52" s="8" t="s">
        <v>77</v>
      </c>
    </row>
    <row r="53" spans="1:6" ht="22" customHeight="1" x14ac:dyDescent="0.3">
      <c r="A53">
        <v>46</v>
      </c>
      <c r="B53" t="s">
        <v>343</v>
      </c>
      <c r="C53" s="8" t="s">
        <v>7</v>
      </c>
      <c r="D53" s="8" t="s">
        <v>7</v>
      </c>
      <c r="E53" s="1" t="s">
        <v>344</v>
      </c>
      <c r="F53" s="8" t="s">
        <v>77</v>
      </c>
    </row>
    <row r="54" spans="1:6" ht="22" customHeight="1" x14ac:dyDescent="0.3">
      <c r="A54">
        <v>47</v>
      </c>
      <c r="B54" t="s">
        <v>345</v>
      </c>
      <c r="C54" s="8" t="s">
        <v>7</v>
      </c>
      <c r="D54" s="8" t="s">
        <v>7</v>
      </c>
      <c r="E54" s="1" t="s">
        <v>346</v>
      </c>
      <c r="F54" s="8" t="s">
        <v>7</v>
      </c>
    </row>
    <row r="55" spans="1:6" ht="22" customHeight="1" x14ac:dyDescent="0.3">
      <c r="A55">
        <v>48</v>
      </c>
      <c r="B55" t="s">
        <v>347</v>
      </c>
      <c r="C55" s="8" t="s">
        <v>7</v>
      </c>
      <c r="D55" s="8" t="s">
        <v>7</v>
      </c>
      <c r="E55" s="1" t="s">
        <v>348</v>
      </c>
      <c r="F55" s="8" t="s">
        <v>7</v>
      </c>
    </row>
    <row r="56" spans="1:6" ht="22" customHeight="1" x14ac:dyDescent="0.3">
      <c r="A56">
        <v>49</v>
      </c>
      <c r="B56" t="s">
        <v>349</v>
      </c>
      <c r="C56" s="8" t="s">
        <v>77</v>
      </c>
      <c r="D56" s="8" t="s">
        <v>77</v>
      </c>
      <c r="E56" s="1"/>
      <c r="F56" s="8"/>
    </row>
    <row r="57" spans="1:6" ht="22" customHeight="1" x14ac:dyDescent="0.3">
      <c r="A57">
        <v>50</v>
      </c>
      <c r="B57" t="s">
        <v>350</v>
      </c>
      <c r="C57" s="8" t="s">
        <v>77</v>
      </c>
      <c r="D57" s="8" t="s">
        <v>77</v>
      </c>
      <c r="E57" s="1"/>
      <c r="F57" s="8"/>
    </row>
    <row r="58" spans="1:6" ht="22" customHeight="1" x14ac:dyDescent="0.3">
      <c r="A58">
        <v>51</v>
      </c>
      <c r="B58" t="s">
        <v>351</v>
      </c>
      <c r="C58" s="8" t="s">
        <v>7</v>
      </c>
      <c r="D58" s="8" t="s">
        <v>7</v>
      </c>
      <c r="E58" s="1" t="s">
        <v>352</v>
      </c>
      <c r="F58" s="8" t="s">
        <v>77</v>
      </c>
    </row>
    <row r="59" spans="1:6" ht="22" customHeight="1" x14ac:dyDescent="0.3">
      <c r="A59">
        <v>52</v>
      </c>
      <c r="B59" t="s">
        <v>353</v>
      </c>
      <c r="C59" s="8" t="s">
        <v>7</v>
      </c>
      <c r="D59" s="8" t="s">
        <v>7</v>
      </c>
      <c r="E59" s="1" t="s">
        <v>354</v>
      </c>
      <c r="F59" s="8" t="s">
        <v>7</v>
      </c>
    </row>
    <row r="60" spans="1:6" ht="22" customHeight="1" x14ac:dyDescent="0.3">
      <c r="A60">
        <v>53</v>
      </c>
      <c r="B60" t="s">
        <v>355</v>
      </c>
      <c r="C60" s="8" t="s">
        <v>7</v>
      </c>
      <c r="D60" s="8" t="s">
        <v>7</v>
      </c>
      <c r="E60" s="1" t="s">
        <v>356</v>
      </c>
      <c r="F60" s="8" t="s">
        <v>77</v>
      </c>
    </row>
    <row r="61" spans="1:6" ht="22" customHeight="1" x14ac:dyDescent="0.3">
      <c r="A61">
        <v>54</v>
      </c>
      <c r="B61" t="s">
        <v>357</v>
      </c>
      <c r="C61" s="8" t="s">
        <v>7</v>
      </c>
      <c r="D61" s="8" t="s">
        <v>7</v>
      </c>
      <c r="E61" s="1" t="s">
        <v>358</v>
      </c>
      <c r="F61" s="8" t="s">
        <v>77</v>
      </c>
    </row>
    <row r="62" spans="1:6" ht="22" customHeight="1" x14ac:dyDescent="0.3">
      <c r="A62">
        <v>55</v>
      </c>
      <c r="B62" t="s">
        <v>359</v>
      </c>
      <c r="C62" s="8" t="s">
        <v>7</v>
      </c>
      <c r="D62" s="8" t="s">
        <v>7</v>
      </c>
      <c r="E62" s="1" t="s">
        <v>360</v>
      </c>
      <c r="F62" s="8" t="s">
        <v>7</v>
      </c>
    </row>
    <row r="63" spans="1:6" ht="22" customHeight="1" x14ac:dyDescent="0.3">
      <c r="A63">
        <v>56</v>
      </c>
      <c r="B63" t="s">
        <v>252</v>
      </c>
      <c r="C63" s="8" t="s">
        <v>7</v>
      </c>
      <c r="D63" s="8" t="s">
        <v>7</v>
      </c>
      <c r="E63" s="1" t="s">
        <v>361</v>
      </c>
      <c r="F63" s="8" t="s">
        <v>7</v>
      </c>
    </row>
    <row r="64" spans="1:6" ht="22" customHeight="1" x14ac:dyDescent="0.3">
      <c r="A64">
        <v>57</v>
      </c>
      <c r="B64" t="s">
        <v>254</v>
      </c>
      <c r="C64" s="8" t="s">
        <v>7</v>
      </c>
      <c r="D64" s="8" t="s">
        <v>7</v>
      </c>
      <c r="E64" s="1" t="s">
        <v>255</v>
      </c>
      <c r="F64" s="8" t="s">
        <v>7</v>
      </c>
    </row>
    <row r="65" spans="1:6" ht="22" customHeight="1" x14ac:dyDescent="0.3">
      <c r="A65">
        <v>58</v>
      </c>
      <c r="B65" t="s">
        <v>362</v>
      </c>
      <c r="C65" s="8" t="s">
        <v>7</v>
      </c>
      <c r="D65" s="8" t="s">
        <v>7</v>
      </c>
      <c r="E65" s="1" t="s">
        <v>256</v>
      </c>
      <c r="F65" s="8" t="s">
        <v>7</v>
      </c>
    </row>
    <row r="66" spans="1:6" ht="22" customHeight="1" x14ac:dyDescent="0.3">
      <c r="A66">
        <v>59</v>
      </c>
      <c r="B66" t="s">
        <v>363</v>
      </c>
      <c r="C66" s="8" t="s">
        <v>7</v>
      </c>
      <c r="D66" s="8" t="s">
        <v>7</v>
      </c>
      <c r="E66" s="1" t="s">
        <v>364</v>
      </c>
      <c r="F66" s="8" t="s">
        <v>7</v>
      </c>
    </row>
    <row r="67" spans="1:6" ht="22" customHeight="1" x14ac:dyDescent="0.3">
      <c r="A67">
        <v>60</v>
      </c>
      <c r="B67" t="s">
        <v>365</v>
      </c>
      <c r="C67" s="8" t="s">
        <v>7</v>
      </c>
      <c r="D67" s="8" t="s">
        <v>7</v>
      </c>
      <c r="E67" s="1" t="s">
        <v>366</v>
      </c>
      <c r="F67" s="8" t="s">
        <v>7</v>
      </c>
    </row>
    <row r="68" spans="1:6" ht="22" customHeight="1" x14ac:dyDescent="0.3">
      <c r="A68">
        <v>61</v>
      </c>
      <c r="B68" t="s">
        <v>367</v>
      </c>
      <c r="C68" s="8" t="s">
        <v>7</v>
      </c>
      <c r="D68" s="8" t="s">
        <v>7</v>
      </c>
      <c r="E68" s="1" t="s">
        <v>368</v>
      </c>
      <c r="F68" s="8" t="s">
        <v>7</v>
      </c>
    </row>
    <row r="69" spans="1:6" ht="22" customHeight="1" x14ac:dyDescent="0.3">
      <c r="A69">
        <v>62</v>
      </c>
      <c r="B69" t="s">
        <v>369</v>
      </c>
      <c r="C69" s="8" t="s">
        <v>7</v>
      </c>
      <c r="D69" s="8" t="s">
        <v>7</v>
      </c>
      <c r="E69" s="23" t="s">
        <v>370</v>
      </c>
      <c r="F69" s="8" t="s">
        <v>7</v>
      </c>
    </row>
    <row r="70" spans="1:6" ht="22" customHeight="1" x14ac:dyDescent="0.3">
      <c r="A70">
        <v>63</v>
      </c>
      <c r="B70" t="s">
        <v>371</v>
      </c>
      <c r="C70" s="8" t="s">
        <v>7</v>
      </c>
      <c r="D70" s="8" t="s">
        <v>7</v>
      </c>
      <c r="E70" s="1" t="s">
        <v>372</v>
      </c>
      <c r="F70" s="8" t="s">
        <v>7</v>
      </c>
    </row>
    <row r="71" spans="1:6" ht="22" customHeight="1" x14ac:dyDescent="0.3">
      <c r="B71" t="s">
        <v>373</v>
      </c>
      <c r="C71" s="8" t="s">
        <v>7</v>
      </c>
      <c r="D71" s="8" t="s">
        <v>7</v>
      </c>
      <c r="E71" s="1" t="s">
        <v>374</v>
      </c>
      <c r="F71" s="8" t="s">
        <v>77</v>
      </c>
    </row>
    <row r="72" spans="1:6" ht="22" customHeight="1" x14ac:dyDescent="0.3">
      <c r="B72" t="s">
        <v>375</v>
      </c>
      <c r="C72" s="8" t="s">
        <v>7</v>
      </c>
      <c r="D72" s="8" t="s">
        <v>7</v>
      </c>
      <c r="E72" s="1" t="s">
        <v>376</v>
      </c>
      <c r="F72" s="8" t="s">
        <v>77</v>
      </c>
    </row>
    <row r="73" spans="1:6" ht="22" customHeight="1" x14ac:dyDescent="0.3">
      <c r="A73">
        <v>64</v>
      </c>
      <c r="B73" t="s">
        <v>377</v>
      </c>
      <c r="C73" s="8" t="s">
        <v>7</v>
      </c>
      <c r="D73" s="8" t="s">
        <v>7</v>
      </c>
      <c r="E73" s="1" t="s">
        <v>378</v>
      </c>
      <c r="F73" s="8" t="s">
        <v>7</v>
      </c>
    </row>
    <row r="74" spans="1:6" ht="22" customHeight="1" x14ac:dyDescent="0.3">
      <c r="B74" t="s">
        <v>379</v>
      </c>
      <c r="C74" s="8" t="s">
        <v>7</v>
      </c>
      <c r="D74" s="8" t="s">
        <v>7</v>
      </c>
      <c r="E74" s="1" t="s">
        <v>380</v>
      </c>
      <c r="F74" s="8" t="s">
        <v>77</v>
      </c>
    </row>
    <row r="75" spans="1:6" ht="22" customHeight="1" x14ac:dyDescent="0.3">
      <c r="B75" t="s">
        <v>381</v>
      </c>
      <c r="C75" s="8" t="s">
        <v>77</v>
      </c>
      <c r="D75" s="8" t="s">
        <v>77</v>
      </c>
      <c r="E75" s="1"/>
      <c r="F75" s="8"/>
    </row>
    <row r="76" spans="1:6" ht="22" customHeight="1" x14ac:dyDescent="0.3">
      <c r="A76">
        <v>65</v>
      </c>
      <c r="B76" t="s">
        <v>382</v>
      </c>
      <c r="C76" s="8" t="s">
        <v>7</v>
      </c>
      <c r="D76" s="8" t="s">
        <v>7</v>
      </c>
      <c r="E76" s="1" t="s">
        <v>383</v>
      </c>
      <c r="F76" s="8" t="s">
        <v>7</v>
      </c>
    </row>
    <row r="77" spans="1:6" ht="22" customHeight="1" x14ac:dyDescent="0.3">
      <c r="B77" t="s">
        <v>384</v>
      </c>
      <c r="C77" s="8" t="s">
        <v>7</v>
      </c>
      <c r="D77" s="8" t="s">
        <v>7</v>
      </c>
      <c r="E77" s="1" t="s">
        <v>385</v>
      </c>
      <c r="F77" s="8" t="s">
        <v>77</v>
      </c>
    </row>
    <row r="78" spans="1:6" ht="22" customHeight="1" x14ac:dyDescent="0.3">
      <c r="B78" t="s">
        <v>386</v>
      </c>
      <c r="C78" s="8" t="s">
        <v>7</v>
      </c>
      <c r="D78" s="8" t="s">
        <v>7</v>
      </c>
      <c r="E78" s="1" t="s">
        <v>387</v>
      </c>
      <c r="F78" s="8" t="s">
        <v>77</v>
      </c>
    </row>
    <row r="79" spans="1:6" ht="22" customHeight="1" x14ac:dyDescent="0.3">
      <c r="B79" t="s">
        <v>388</v>
      </c>
      <c r="C79" s="8" t="s">
        <v>7</v>
      </c>
      <c r="D79" s="8" t="s">
        <v>7</v>
      </c>
      <c r="E79" s="1" t="s">
        <v>389</v>
      </c>
      <c r="F79" s="8" t="s">
        <v>7</v>
      </c>
    </row>
    <row r="80" spans="1:6" ht="22" customHeight="1" x14ac:dyDescent="0.3">
      <c r="B80" t="s">
        <v>390</v>
      </c>
      <c r="C80" s="8" t="s">
        <v>7</v>
      </c>
      <c r="D80" s="8" t="s">
        <v>7</v>
      </c>
      <c r="E80" s="1" t="s">
        <v>391</v>
      </c>
      <c r="F80" s="8" t="s">
        <v>77</v>
      </c>
    </row>
    <row r="81" spans="1:6" ht="22" customHeight="1" x14ac:dyDescent="0.3">
      <c r="A81">
        <v>66</v>
      </c>
      <c r="B81" t="s">
        <v>205</v>
      </c>
      <c r="C81" s="8" t="s">
        <v>7</v>
      </c>
      <c r="D81" s="8" t="s">
        <v>7</v>
      </c>
      <c r="E81" s="1" t="s">
        <v>206</v>
      </c>
      <c r="F81" s="8" t="s">
        <v>7</v>
      </c>
    </row>
    <row r="82" spans="1:6" ht="22" customHeight="1" x14ac:dyDescent="0.3">
      <c r="A82">
        <v>67</v>
      </c>
      <c r="B82" t="s">
        <v>207</v>
      </c>
      <c r="C82" s="8" t="s">
        <v>7</v>
      </c>
      <c r="D82" s="8" t="s">
        <v>7</v>
      </c>
      <c r="E82" s="1" t="s">
        <v>392</v>
      </c>
      <c r="F82" s="8" t="s">
        <v>7</v>
      </c>
    </row>
    <row r="83" spans="1:6" ht="22" customHeight="1" x14ac:dyDescent="0.3">
      <c r="A83">
        <v>68</v>
      </c>
      <c r="B83" t="s">
        <v>393</v>
      </c>
      <c r="C83" s="8" t="s">
        <v>7</v>
      </c>
      <c r="D83" s="8" t="s">
        <v>7</v>
      </c>
      <c r="E83" s="1" t="s">
        <v>394</v>
      </c>
      <c r="F83" s="8" t="s">
        <v>7</v>
      </c>
    </row>
    <row r="84" spans="1:6" ht="22" customHeight="1" x14ac:dyDescent="0.3">
      <c r="A84">
        <v>69</v>
      </c>
      <c r="B84" t="s">
        <v>395</v>
      </c>
      <c r="C84" s="8" t="s">
        <v>7</v>
      </c>
      <c r="D84" s="8" t="s">
        <v>7</v>
      </c>
      <c r="E84" s="1" t="s">
        <v>396</v>
      </c>
      <c r="F84" s="8" t="s">
        <v>7</v>
      </c>
    </row>
    <row r="85" spans="1:6" ht="22" customHeight="1" x14ac:dyDescent="0.3">
      <c r="A85">
        <v>70</v>
      </c>
      <c r="B85" t="s">
        <v>397</v>
      </c>
      <c r="C85" s="8" t="s">
        <v>7</v>
      </c>
      <c r="D85" s="8" t="s">
        <v>7</v>
      </c>
      <c r="E85" s="1" t="s">
        <v>398</v>
      </c>
      <c r="F85" s="8" t="s">
        <v>7</v>
      </c>
    </row>
    <row r="86" spans="1:6" ht="22" customHeight="1" x14ac:dyDescent="0.3">
      <c r="A86">
        <v>71</v>
      </c>
      <c r="B86" t="s">
        <v>399</v>
      </c>
      <c r="C86" s="8" t="s">
        <v>7</v>
      </c>
      <c r="D86" s="8" t="s">
        <v>7</v>
      </c>
      <c r="E86" s="1" t="s">
        <v>400</v>
      </c>
      <c r="F86" s="8" t="s">
        <v>7</v>
      </c>
    </row>
    <row r="87" spans="1:6" ht="22" customHeight="1" x14ac:dyDescent="0.3">
      <c r="B87" t="s">
        <v>401</v>
      </c>
      <c r="C87" s="8" t="s">
        <v>7</v>
      </c>
      <c r="D87" s="8" t="s">
        <v>7</v>
      </c>
      <c r="E87" s="1" t="s">
        <v>402</v>
      </c>
      <c r="F87" s="8" t="s">
        <v>77</v>
      </c>
    </row>
    <row r="88" spans="1:6" ht="22" customHeight="1" x14ac:dyDescent="0.3">
      <c r="B88" t="s">
        <v>403</v>
      </c>
      <c r="C88" s="8" t="s">
        <v>7</v>
      </c>
      <c r="D88" s="8" t="s">
        <v>7</v>
      </c>
      <c r="E88" s="1" t="s">
        <v>404</v>
      </c>
      <c r="F88" s="8" t="s">
        <v>77</v>
      </c>
    </row>
    <row r="89" spans="1:6" ht="22" customHeight="1" x14ac:dyDescent="0.3">
      <c r="A89">
        <v>72</v>
      </c>
      <c r="B89" t="s">
        <v>405</v>
      </c>
      <c r="C89" s="8" t="s">
        <v>7</v>
      </c>
      <c r="D89" s="8" t="s">
        <v>7</v>
      </c>
      <c r="E89" s="1" t="s">
        <v>406</v>
      </c>
      <c r="F89" s="8" t="s">
        <v>77</v>
      </c>
    </row>
    <row r="90" spans="1:6" ht="22" customHeight="1" x14ac:dyDescent="0.3">
      <c r="A90">
        <v>73</v>
      </c>
      <c r="B90" t="s">
        <v>407</v>
      </c>
      <c r="C90" s="8" t="s">
        <v>7</v>
      </c>
      <c r="D90" s="8" t="s">
        <v>7</v>
      </c>
      <c r="E90" s="1" t="s">
        <v>408</v>
      </c>
      <c r="F90" s="8" t="s">
        <v>77</v>
      </c>
    </row>
    <row r="91" spans="1:6" ht="22" customHeight="1" x14ac:dyDescent="0.3">
      <c r="B91" t="s">
        <v>409</v>
      </c>
      <c r="C91" s="8" t="s">
        <v>7</v>
      </c>
      <c r="D91" s="8" t="s">
        <v>7</v>
      </c>
      <c r="E91" s="1" t="s">
        <v>410</v>
      </c>
      <c r="F91" s="8" t="s">
        <v>77</v>
      </c>
    </row>
    <row r="92" spans="1:6" ht="22" customHeight="1" x14ac:dyDescent="0.3">
      <c r="A92">
        <v>74</v>
      </c>
      <c r="B92" t="s">
        <v>217</v>
      </c>
      <c r="C92" s="8" t="s">
        <v>7</v>
      </c>
      <c r="D92" s="8" t="s">
        <v>7</v>
      </c>
      <c r="E92" s="1" t="s">
        <v>411</v>
      </c>
      <c r="F92" s="8" t="s">
        <v>7</v>
      </c>
    </row>
    <row r="93" spans="1:6" ht="22" customHeight="1" x14ac:dyDescent="0.3">
      <c r="A93">
        <v>75</v>
      </c>
      <c r="B93" t="s">
        <v>412</v>
      </c>
      <c r="C93" s="8" t="s">
        <v>7</v>
      </c>
      <c r="D93" s="8" t="s">
        <v>7</v>
      </c>
      <c r="E93" s="1" t="s">
        <v>411</v>
      </c>
      <c r="F93" s="8" t="s">
        <v>7</v>
      </c>
    </row>
    <row r="94" spans="1:6" ht="22" customHeight="1" x14ac:dyDescent="0.3">
      <c r="A94">
        <v>76</v>
      </c>
      <c r="B94" t="s">
        <v>413</v>
      </c>
      <c r="C94" s="8" t="s">
        <v>7</v>
      </c>
      <c r="D94" s="8" t="s">
        <v>7</v>
      </c>
      <c r="E94" s="23" t="s">
        <v>414</v>
      </c>
      <c r="F94" s="8" t="s">
        <v>77</v>
      </c>
    </row>
    <row r="95" spans="1:6" ht="22" customHeight="1" x14ac:dyDescent="0.3">
      <c r="B95" t="s">
        <v>415</v>
      </c>
      <c r="C95" s="8" t="s">
        <v>7</v>
      </c>
      <c r="D95" s="8" t="s">
        <v>7</v>
      </c>
      <c r="E95" s="1" t="s">
        <v>416</v>
      </c>
      <c r="F95" s="8" t="s">
        <v>77</v>
      </c>
    </row>
    <row r="96" spans="1:6" s="3" customFormat="1" ht="22" customHeight="1" thickBot="1" x14ac:dyDescent="0.35">
      <c r="B96" s="2" t="s">
        <v>226</v>
      </c>
      <c r="C96" s="9"/>
      <c r="D96" s="10"/>
      <c r="E96" s="2"/>
      <c r="F96" s="10"/>
    </row>
    <row r="97" spans="1:6" ht="21.65" customHeight="1" thickTop="1" x14ac:dyDescent="0.3">
      <c r="A97">
        <v>77</v>
      </c>
      <c r="B97" t="s">
        <v>417</v>
      </c>
      <c r="C97" s="8" t="s">
        <v>7</v>
      </c>
      <c r="D97" s="8" t="s">
        <v>7</v>
      </c>
      <c r="E97" s="23" t="s">
        <v>418</v>
      </c>
      <c r="F97" s="8" t="s">
        <v>7</v>
      </c>
    </row>
    <row r="98" spans="1:6" ht="21.65" customHeight="1" x14ac:dyDescent="0.3">
      <c r="B98" t="s">
        <v>419</v>
      </c>
      <c r="C98" s="8" t="s">
        <v>7</v>
      </c>
      <c r="D98" s="8" t="s">
        <v>7</v>
      </c>
      <c r="E98" s="1" t="s">
        <v>420</v>
      </c>
      <c r="F98" s="8" t="s">
        <v>7</v>
      </c>
    </row>
    <row r="99" spans="1:6" ht="21.65" customHeight="1" x14ac:dyDescent="0.3">
      <c r="B99" t="s">
        <v>421</v>
      </c>
      <c r="C99" s="8" t="s">
        <v>7</v>
      </c>
      <c r="D99" s="8" t="s">
        <v>7</v>
      </c>
      <c r="E99" s="1" t="s">
        <v>91</v>
      </c>
      <c r="F99" s="8" t="s">
        <v>7</v>
      </c>
    </row>
    <row r="100" spans="1:6" ht="22" customHeight="1" x14ac:dyDescent="0.3">
      <c r="A100">
        <f>A97+1</f>
        <v>78</v>
      </c>
      <c r="B100" s="1" t="s">
        <v>422</v>
      </c>
      <c r="C100" s="8" t="s">
        <v>7</v>
      </c>
      <c r="D100" s="8" t="s">
        <v>7</v>
      </c>
      <c r="E100" s="1" t="s">
        <v>423</v>
      </c>
      <c r="F100" s="8" t="s">
        <v>7</v>
      </c>
    </row>
    <row r="101" spans="1:6" s="3" customFormat="1" ht="22" customHeight="1" thickBot="1" x14ac:dyDescent="0.35">
      <c r="B101" s="2" t="s">
        <v>235</v>
      </c>
      <c r="C101" s="9"/>
      <c r="D101" s="10"/>
      <c r="E101" s="2"/>
      <c r="F101" s="10"/>
    </row>
    <row r="102" spans="1:6" ht="22" customHeight="1" thickTop="1" x14ac:dyDescent="0.3">
      <c r="A102">
        <f>A100+1</f>
        <v>79</v>
      </c>
      <c r="B102" s="1" t="s">
        <v>239</v>
      </c>
      <c r="C102" s="8" t="s">
        <v>7</v>
      </c>
      <c r="D102" s="8" t="s">
        <v>7</v>
      </c>
      <c r="E102" s="18" t="s">
        <v>424</v>
      </c>
      <c r="F102" s="8" t="s">
        <v>7</v>
      </c>
    </row>
    <row r="103" spans="1:6" ht="22" customHeight="1" x14ac:dyDescent="0.3">
      <c r="A103">
        <f>1+A102</f>
        <v>80</v>
      </c>
      <c r="B103" s="1" t="s">
        <v>102</v>
      </c>
      <c r="C103" s="8" t="s">
        <v>7</v>
      </c>
      <c r="D103" s="8" t="s">
        <v>7</v>
      </c>
      <c r="E103" s="18" t="s">
        <v>425</v>
      </c>
      <c r="F103" s="8" t="s">
        <v>7</v>
      </c>
    </row>
    <row r="104" spans="1:6" ht="22" customHeight="1" x14ac:dyDescent="0.3">
      <c r="A104">
        <f>1+A103</f>
        <v>81</v>
      </c>
      <c r="B104" s="1" t="s">
        <v>96</v>
      </c>
      <c r="C104" s="8" t="s">
        <v>7</v>
      </c>
      <c r="D104" s="8" t="s">
        <v>7</v>
      </c>
      <c r="E104" s="18" t="s">
        <v>426</v>
      </c>
      <c r="F104" s="8" t="s">
        <v>7</v>
      </c>
    </row>
    <row r="105" spans="1:6" ht="22" customHeight="1" x14ac:dyDescent="0.3">
      <c r="A105">
        <f>1+A104</f>
        <v>82</v>
      </c>
      <c r="B105" t="s">
        <v>89</v>
      </c>
      <c r="C105" s="8" t="s">
        <v>77</v>
      </c>
      <c r="D105" s="8" t="s">
        <v>77</v>
      </c>
      <c r="E105" s="1"/>
      <c r="F105" s="8"/>
    </row>
    <row r="106" spans="1:6" ht="22" customHeight="1" x14ac:dyDescent="0.3">
      <c r="B106" s="1" t="s">
        <v>427</v>
      </c>
      <c r="C106" s="1" t="s">
        <v>77</v>
      </c>
      <c r="D106" s="1" t="s">
        <v>77</v>
      </c>
      <c r="E106" s="1"/>
      <c r="F106" s="1"/>
    </row>
    <row r="107" spans="1:6" s="3" customFormat="1" ht="22" customHeight="1" thickBot="1" x14ac:dyDescent="0.35">
      <c r="B107" s="2" t="s">
        <v>245</v>
      </c>
      <c r="C107" s="16"/>
      <c r="D107" s="16"/>
      <c r="E107" s="2"/>
      <c r="F107" s="16"/>
    </row>
    <row r="108" spans="1:6" ht="14.25" customHeight="1" thickTop="1" x14ac:dyDescent="0.3">
      <c r="B108" s="1"/>
      <c r="C108" s="1"/>
      <c r="D108" s="1"/>
      <c r="E108" s="1"/>
      <c r="F108" s="1"/>
    </row>
    <row r="110" spans="1:6" ht="27" customHeight="1" x14ac:dyDescent="0.3">
      <c r="B110" s="2" t="s">
        <v>428</v>
      </c>
      <c r="C110" s="9"/>
      <c r="D110" s="6"/>
      <c r="E110" s="2"/>
      <c r="F110" s="6"/>
    </row>
    <row r="111" spans="1:6" ht="14.5" customHeight="1" thickTop="1" x14ac:dyDescent="0.3">
      <c r="A111">
        <v>1</v>
      </c>
      <c r="B111" t="s">
        <v>429</v>
      </c>
      <c r="C111" s="8" t="s">
        <v>7</v>
      </c>
      <c r="D111" s="8" t="s">
        <v>7</v>
      </c>
      <c r="E111" s="1" t="s">
        <v>430</v>
      </c>
      <c r="F111" s="8" t="s">
        <v>7</v>
      </c>
    </row>
    <row r="112" spans="1:6" ht="28" customHeight="1" x14ac:dyDescent="0.3">
      <c r="A112">
        <v>2</v>
      </c>
      <c r="B112" t="s">
        <v>431</v>
      </c>
      <c r="C112" s="8" t="s">
        <v>7</v>
      </c>
      <c r="D112" s="8" t="s">
        <v>7</v>
      </c>
      <c r="E112" s="1" t="s">
        <v>432</v>
      </c>
      <c r="F112" s="8" t="s">
        <v>77</v>
      </c>
    </row>
    <row r="113" spans="1:6" ht="28" customHeight="1" x14ac:dyDescent="0.3">
      <c r="A113">
        <v>3</v>
      </c>
      <c r="B113" t="s">
        <v>433</v>
      </c>
      <c r="C113" s="8" t="s">
        <v>7</v>
      </c>
      <c r="D113" s="8" t="s">
        <v>7</v>
      </c>
      <c r="E113" s="1" t="s">
        <v>434</v>
      </c>
      <c r="F113" s="8" t="s">
        <v>77</v>
      </c>
    </row>
    <row r="114" spans="1:6" ht="28" customHeight="1" x14ac:dyDescent="0.3">
      <c r="A114">
        <v>4</v>
      </c>
      <c r="B114" t="s">
        <v>435</v>
      </c>
      <c r="C114" s="8" t="s">
        <v>7</v>
      </c>
      <c r="D114" s="8" t="s">
        <v>7</v>
      </c>
      <c r="E114" s="1" t="s">
        <v>436</v>
      </c>
      <c r="F114" s="8" t="s">
        <v>7</v>
      </c>
    </row>
    <row r="115" spans="1:6" ht="28" customHeight="1" x14ac:dyDescent="0.3">
      <c r="A115">
        <v>5</v>
      </c>
      <c r="B115" t="s">
        <v>437</v>
      </c>
      <c r="C115" s="8" t="s">
        <v>7</v>
      </c>
      <c r="D115" s="8" t="s">
        <v>7</v>
      </c>
      <c r="E115" s="1" t="s">
        <v>438</v>
      </c>
      <c r="F115" s="8" t="s">
        <v>7</v>
      </c>
    </row>
    <row r="116" spans="1:6" ht="28" customHeight="1" x14ac:dyDescent="0.3">
      <c r="A116">
        <v>6</v>
      </c>
      <c r="B116" t="s">
        <v>439</v>
      </c>
      <c r="C116" s="8" t="s">
        <v>7</v>
      </c>
      <c r="D116" s="8" t="s">
        <v>7</v>
      </c>
      <c r="E116" s="1" t="s">
        <v>440</v>
      </c>
      <c r="F116" s="8" t="s">
        <v>7</v>
      </c>
    </row>
    <row r="117" spans="1:6" ht="28" customHeight="1" x14ac:dyDescent="0.3">
      <c r="A117">
        <v>7</v>
      </c>
      <c r="B117" t="s">
        <v>441</v>
      </c>
      <c r="C117" s="8" t="s">
        <v>7</v>
      </c>
      <c r="D117" s="8" t="s">
        <v>7</v>
      </c>
      <c r="E117" s="1" t="s">
        <v>442</v>
      </c>
      <c r="F117" s="8" t="s">
        <v>7</v>
      </c>
    </row>
    <row r="118" spans="1:6" ht="28" customHeight="1" x14ac:dyDescent="0.3">
      <c r="A118">
        <v>8</v>
      </c>
      <c r="B118" t="s">
        <v>443</v>
      </c>
      <c r="C118" s="8" t="s">
        <v>7</v>
      </c>
      <c r="D118" s="8" t="s">
        <v>7</v>
      </c>
      <c r="E118" s="1" t="s">
        <v>444</v>
      </c>
      <c r="F118" s="8" t="s">
        <v>77</v>
      </c>
    </row>
    <row r="119" spans="1:6" ht="28" customHeight="1" x14ac:dyDescent="0.3">
      <c r="A119">
        <v>9</v>
      </c>
      <c r="B119" t="s">
        <v>445</v>
      </c>
      <c r="C119" s="8" t="s">
        <v>7</v>
      </c>
      <c r="D119" s="8" t="s">
        <v>7</v>
      </c>
      <c r="E119" s="1" t="s">
        <v>446</v>
      </c>
      <c r="F119" s="8" t="s">
        <v>7</v>
      </c>
    </row>
    <row r="120" spans="1:6" ht="27" customHeight="1" x14ac:dyDescent="0.3">
      <c r="A120">
        <v>10</v>
      </c>
      <c r="B120" t="s">
        <v>447</v>
      </c>
      <c r="C120" s="8" t="s">
        <v>7</v>
      </c>
      <c r="D120" s="8" t="s">
        <v>7</v>
      </c>
      <c r="E120" s="1" t="s">
        <v>448</v>
      </c>
      <c r="F120" s="8" t="s">
        <v>7</v>
      </c>
    </row>
    <row r="121" spans="1:6" ht="28" customHeight="1" x14ac:dyDescent="0.3">
      <c r="A121">
        <v>11</v>
      </c>
      <c r="B121" t="s">
        <v>449</v>
      </c>
      <c r="C121" s="8" t="s">
        <v>7</v>
      </c>
      <c r="D121" s="8" t="s">
        <v>7</v>
      </c>
      <c r="E121" s="1" t="s">
        <v>450</v>
      </c>
      <c r="F121" s="8" t="s">
        <v>7</v>
      </c>
    </row>
    <row r="122" spans="1:6" ht="28" customHeight="1" x14ac:dyDescent="0.3">
      <c r="A122">
        <v>12</v>
      </c>
      <c r="B122" t="s">
        <v>451</v>
      </c>
      <c r="C122" s="8" t="s">
        <v>7</v>
      </c>
      <c r="D122" s="8" t="s">
        <v>7</v>
      </c>
      <c r="E122" s="1" t="s">
        <v>452</v>
      </c>
      <c r="F122" s="8" t="s">
        <v>77</v>
      </c>
    </row>
    <row r="123" spans="1:6" ht="28" customHeight="1" x14ac:dyDescent="0.3">
      <c r="A123">
        <v>13</v>
      </c>
      <c r="B123" t="s">
        <v>453</v>
      </c>
      <c r="C123" s="8" t="s">
        <v>7</v>
      </c>
      <c r="D123" s="8" t="s">
        <v>7</v>
      </c>
      <c r="E123" s="1" t="s">
        <v>454</v>
      </c>
      <c r="F123" s="8" t="s">
        <v>77</v>
      </c>
    </row>
    <row r="124" spans="1:6" ht="28" customHeight="1" x14ac:dyDescent="0.3">
      <c r="A124">
        <v>14</v>
      </c>
      <c r="B124" t="s">
        <v>455</v>
      </c>
      <c r="C124" s="8" t="s">
        <v>7</v>
      </c>
      <c r="D124" s="8" t="s">
        <v>7</v>
      </c>
      <c r="E124" s="1" t="s">
        <v>456</v>
      </c>
      <c r="F124" s="8" t="s">
        <v>7</v>
      </c>
    </row>
    <row r="125" spans="1:6" ht="28" customHeight="1" x14ac:dyDescent="0.3">
      <c r="A125">
        <v>15</v>
      </c>
      <c r="B125" t="s">
        <v>457</v>
      </c>
      <c r="C125" s="8" t="s">
        <v>7</v>
      </c>
      <c r="D125" s="8" t="s">
        <v>7</v>
      </c>
      <c r="E125" s="1" t="s">
        <v>458</v>
      </c>
      <c r="F125" s="8" t="s">
        <v>77</v>
      </c>
    </row>
    <row r="126" spans="1:6" ht="28" customHeight="1" x14ac:dyDescent="0.3">
      <c r="A126">
        <v>16</v>
      </c>
      <c r="B126" t="s">
        <v>459</v>
      </c>
      <c r="C126" s="8" t="s">
        <v>7</v>
      </c>
      <c r="D126" s="8" t="s">
        <v>7</v>
      </c>
      <c r="E126" s="1" t="s">
        <v>460</v>
      </c>
      <c r="F126" s="8" t="s">
        <v>77</v>
      </c>
    </row>
    <row r="127" spans="1:6" ht="28" customHeight="1" x14ac:dyDescent="0.3">
      <c r="A127">
        <v>17</v>
      </c>
      <c r="B127" t="s">
        <v>461</v>
      </c>
      <c r="C127" s="8" t="s">
        <v>7</v>
      </c>
      <c r="D127" s="8" t="s">
        <v>7</v>
      </c>
      <c r="E127" s="1" t="s">
        <v>462</v>
      </c>
      <c r="F127" s="8" t="s">
        <v>7</v>
      </c>
    </row>
    <row r="128" spans="1:6" ht="28" customHeight="1" x14ac:dyDescent="0.3">
      <c r="A128">
        <v>18</v>
      </c>
      <c r="B128" t="s">
        <v>463</v>
      </c>
      <c r="C128" s="8" t="s">
        <v>7</v>
      </c>
      <c r="D128" s="8" t="s">
        <v>7</v>
      </c>
      <c r="E128" s="1" t="s">
        <v>464</v>
      </c>
      <c r="F128" s="8" t="s">
        <v>7</v>
      </c>
    </row>
    <row r="129" spans="1:6" ht="28" customHeight="1" x14ac:dyDescent="0.3">
      <c r="A129">
        <v>19</v>
      </c>
      <c r="B129" t="s">
        <v>465</v>
      </c>
      <c r="C129" s="8" t="s">
        <v>7</v>
      </c>
      <c r="D129" s="8" t="s">
        <v>7</v>
      </c>
      <c r="E129" s="1" t="s">
        <v>466</v>
      </c>
      <c r="F129" s="8" t="s">
        <v>7</v>
      </c>
    </row>
    <row r="130" spans="1:6" ht="28" customHeight="1" x14ac:dyDescent="0.3">
      <c r="A130">
        <v>20</v>
      </c>
      <c r="B130" t="s">
        <v>467</v>
      </c>
      <c r="C130" s="8" t="s">
        <v>7</v>
      </c>
      <c r="D130" s="8" t="s">
        <v>7</v>
      </c>
      <c r="E130" s="1" t="s">
        <v>468</v>
      </c>
      <c r="F130" s="8" t="s">
        <v>77</v>
      </c>
    </row>
    <row r="131" spans="1:6" ht="28" customHeight="1" x14ac:dyDescent="0.3">
      <c r="A131">
        <v>21</v>
      </c>
      <c r="B131" t="s">
        <v>469</v>
      </c>
      <c r="C131" s="8" t="s">
        <v>7</v>
      </c>
      <c r="D131" s="8" t="s">
        <v>7</v>
      </c>
      <c r="E131" s="1" t="s">
        <v>470</v>
      </c>
      <c r="F131" s="8" t="s">
        <v>7</v>
      </c>
    </row>
    <row r="132" spans="1:6" ht="28" customHeight="1" x14ac:dyDescent="0.3">
      <c r="A132">
        <v>22</v>
      </c>
      <c r="B132" t="s">
        <v>471</v>
      </c>
      <c r="C132" s="8" t="s">
        <v>7</v>
      </c>
      <c r="D132" s="8" t="s">
        <v>7</v>
      </c>
      <c r="E132" s="1" t="s">
        <v>472</v>
      </c>
      <c r="F132" s="8" t="s">
        <v>7</v>
      </c>
    </row>
    <row r="133" spans="1:6" ht="28" customHeight="1" x14ac:dyDescent="0.3">
      <c r="A133">
        <v>23</v>
      </c>
      <c r="B133" t="s">
        <v>473</v>
      </c>
      <c r="C133" s="8" t="s">
        <v>7</v>
      </c>
      <c r="D133" s="8" t="s">
        <v>7</v>
      </c>
      <c r="E133" s="1" t="s">
        <v>474</v>
      </c>
      <c r="F133" s="8" t="s">
        <v>77</v>
      </c>
    </row>
    <row r="134" spans="1:6" ht="28" customHeight="1" x14ac:dyDescent="0.3">
      <c r="A134">
        <v>24</v>
      </c>
      <c r="B134" t="s">
        <v>475</v>
      </c>
      <c r="C134" s="8" t="s">
        <v>7</v>
      </c>
      <c r="D134" s="8" t="s">
        <v>7</v>
      </c>
      <c r="E134" s="1" t="s">
        <v>476</v>
      </c>
      <c r="F134" s="8" t="s">
        <v>77</v>
      </c>
    </row>
    <row r="135" spans="1:6" ht="28" customHeight="1" x14ac:dyDescent="0.3">
      <c r="A135">
        <v>25</v>
      </c>
      <c r="B135" t="s">
        <v>477</v>
      </c>
      <c r="C135" s="8" t="s">
        <v>7</v>
      </c>
      <c r="D135" s="8" t="s">
        <v>7</v>
      </c>
      <c r="E135" s="1" t="s">
        <v>478</v>
      </c>
      <c r="F135" s="8" t="s">
        <v>77</v>
      </c>
    </row>
    <row r="136" spans="1:6" ht="28" customHeight="1" x14ac:dyDescent="0.3">
      <c r="A136">
        <v>26</v>
      </c>
      <c r="B136" t="s">
        <v>479</v>
      </c>
      <c r="C136" s="8" t="s">
        <v>7</v>
      </c>
      <c r="D136" s="8" t="s">
        <v>7</v>
      </c>
      <c r="E136" s="1" t="s">
        <v>480</v>
      </c>
      <c r="F136" s="8" t="s">
        <v>7</v>
      </c>
    </row>
    <row r="137" spans="1:6" ht="28" customHeight="1" x14ac:dyDescent="0.3">
      <c r="A137">
        <v>27</v>
      </c>
      <c r="B137" t="s">
        <v>481</v>
      </c>
      <c r="C137" s="8" t="s">
        <v>7</v>
      </c>
      <c r="D137" s="8" t="s">
        <v>7</v>
      </c>
      <c r="E137" s="1" t="s">
        <v>482</v>
      </c>
      <c r="F137" s="8" t="s">
        <v>77</v>
      </c>
    </row>
    <row r="138" spans="1:6" ht="28" customHeight="1" x14ac:dyDescent="0.3">
      <c r="A138">
        <v>28</v>
      </c>
      <c r="B138" t="s">
        <v>483</v>
      </c>
      <c r="C138" s="8" t="s">
        <v>7</v>
      </c>
      <c r="D138" s="8" t="s">
        <v>7</v>
      </c>
      <c r="E138" s="1" t="s">
        <v>484</v>
      </c>
      <c r="F138" s="8" t="s">
        <v>7</v>
      </c>
    </row>
    <row r="139" spans="1:6" ht="28" customHeight="1" x14ac:dyDescent="0.3">
      <c r="A139">
        <v>29</v>
      </c>
      <c r="B139" t="s">
        <v>485</v>
      </c>
      <c r="C139" s="8" t="s">
        <v>7</v>
      </c>
      <c r="D139" s="8" t="s">
        <v>7</v>
      </c>
      <c r="E139" s="1" t="s">
        <v>486</v>
      </c>
      <c r="F139" s="8" t="s">
        <v>7</v>
      </c>
    </row>
    <row r="140" spans="1:6" ht="28" customHeight="1" x14ac:dyDescent="0.3">
      <c r="A140">
        <v>30</v>
      </c>
      <c r="B140" t="s">
        <v>487</v>
      </c>
      <c r="C140" s="8" t="s">
        <v>7</v>
      </c>
      <c r="D140" s="8" t="s">
        <v>7</v>
      </c>
      <c r="E140" s="1" t="s">
        <v>488</v>
      </c>
      <c r="F140" s="8" t="s">
        <v>7</v>
      </c>
    </row>
    <row r="141" spans="1:6" ht="28" customHeight="1" x14ac:dyDescent="0.3">
      <c r="A141">
        <v>31</v>
      </c>
      <c r="B141" t="s">
        <v>489</v>
      </c>
      <c r="C141" s="8" t="s">
        <v>7</v>
      </c>
      <c r="D141" s="8" t="s">
        <v>7</v>
      </c>
      <c r="E141" s="1" t="s">
        <v>490</v>
      </c>
      <c r="F141" s="8" t="s">
        <v>7</v>
      </c>
    </row>
    <row r="142" spans="1:6" ht="28" customHeight="1" x14ac:dyDescent="0.3">
      <c r="A142">
        <v>32</v>
      </c>
      <c r="B142" t="s">
        <v>491</v>
      </c>
      <c r="C142" s="8" t="s">
        <v>7</v>
      </c>
      <c r="D142" s="8" t="s">
        <v>7</v>
      </c>
      <c r="E142" s="1" t="s">
        <v>492</v>
      </c>
      <c r="F142" s="8" t="s">
        <v>77</v>
      </c>
    </row>
    <row r="143" spans="1:6" ht="28" customHeight="1" x14ac:dyDescent="0.3">
      <c r="A143">
        <v>33</v>
      </c>
      <c r="B143" t="s">
        <v>493</v>
      </c>
      <c r="C143" s="8" t="s">
        <v>7</v>
      </c>
      <c r="D143" s="8" t="s">
        <v>7</v>
      </c>
      <c r="E143" s="1" t="s">
        <v>494</v>
      </c>
      <c r="F143" s="8" t="s">
        <v>77</v>
      </c>
    </row>
    <row r="144" spans="1:6" ht="28" customHeight="1" x14ac:dyDescent="0.3">
      <c r="A144">
        <v>34</v>
      </c>
      <c r="B144" t="s">
        <v>495</v>
      </c>
      <c r="C144" s="8" t="s">
        <v>7</v>
      </c>
      <c r="D144" s="8" t="s">
        <v>7</v>
      </c>
      <c r="E144" s="1" t="s">
        <v>496</v>
      </c>
      <c r="F144" s="8" t="s">
        <v>77</v>
      </c>
    </row>
    <row r="145" spans="1:6" ht="28" customHeight="1" x14ac:dyDescent="0.3">
      <c r="A145">
        <v>35</v>
      </c>
      <c r="B145" t="s">
        <v>497</v>
      </c>
      <c r="C145" s="8" t="s">
        <v>7</v>
      </c>
      <c r="D145" s="8" t="s">
        <v>7</v>
      </c>
      <c r="E145" s="1" t="s">
        <v>498</v>
      </c>
      <c r="F145" s="8" t="s">
        <v>77</v>
      </c>
    </row>
    <row r="146" spans="1:6" ht="28" customHeight="1" x14ac:dyDescent="0.3">
      <c r="A146">
        <v>36</v>
      </c>
      <c r="B146" t="s">
        <v>499</v>
      </c>
      <c r="C146" s="8" t="s">
        <v>7</v>
      </c>
      <c r="D146" s="8" t="s">
        <v>7</v>
      </c>
      <c r="E146" s="1" t="s">
        <v>500</v>
      </c>
      <c r="F146" s="8" t="s">
        <v>77</v>
      </c>
    </row>
    <row r="147" spans="1:6" ht="28" customHeight="1" x14ac:dyDescent="0.3">
      <c r="A147">
        <v>37</v>
      </c>
      <c r="B147" t="s">
        <v>501</v>
      </c>
      <c r="C147" s="8" t="s">
        <v>7</v>
      </c>
      <c r="D147" s="8" t="s">
        <v>7</v>
      </c>
      <c r="E147" s="1" t="s">
        <v>502</v>
      </c>
      <c r="F147" s="8" t="s">
        <v>77</v>
      </c>
    </row>
    <row r="148" spans="1:6" ht="28" customHeight="1" x14ac:dyDescent="0.3">
      <c r="A148">
        <v>38</v>
      </c>
      <c r="B148" t="s">
        <v>503</v>
      </c>
      <c r="C148" s="8" t="s">
        <v>7</v>
      </c>
      <c r="D148" s="8" t="s">
        <v>7</v>
      </c>
      <c r="E148" s="1" t="s">
        <v>504</v>
      </c>
      <c r="F148" s="8" t="s">
        <v>77</v>
      </c>
    </row>
    <row r="149" spans="1:6" ht="28" customHeight="1" x14ac:dyDescent="0.3">
      <c r="A149">
        <v>39</v>
      </c>
      <c r="B149" t="s">
        <v>505</v>
      </c>
      <c r="C149" s="8" t="s">
        <v>7</v>
      </c>
      <c r="D149" s="8" t="s">
        <v>7</v>
      </c>
      <c r="E149" s="1" t="s">
        <v>506</v>
      </c>
      <c r="F149" s="8" t="s">
        <v>77</v>
      </c>
    </row>
    <row r="150" spans="1:6" ht="28" customHeight="1" x14ac:dyDescent="0.3">
      <c r="A150">
        <v>40</v>
      </c>
      <c r="B150" t="s">
        <v>507</v>
      </c>
      <c r="C150" s="8" t="s">
        <v>7</v>
      </c>
      <c r="D150" s="8" t="s">
        <v>7</v>
      </c>
      <c r="E150" s="1" t="s">
        <v>508</v>
      </c>
      <c r="F150" s="8" t="s">
        <v>77</v>
      </c>
    </row>
    <row r="151" spans="1:6" ht="28" customHeight="1" x14ac:dyDescent="0.3">
      <c r="A151">
        <v>41</v>
      </c>
      <c r="B151" t="s">
        <v>509</v>
      </c>
      <c r="C151" s="8" t="s">
        <v>7</v>
      </c>
      <c r="D151" s="8" t="s">
        <v>7</v>
      </c>
      <c r="E151" s="1" t="s">
        <v>510</v>
      </c>
      <c r="F151" s="8" t="s">
        <v>7</v>
      </c>
    </row>
    <row r="152" spans="1:6" ht="28" customHeight="1" x14ac:dyDescent="0.3">
      <c r="A152">
        <v>42</v>
      </c>
      <c r="B152" t="s">
        <v>511</v>
      </c>
      <c r="C152" s="8" t="s">
        <v>7</v>
      </c>
      <c r="D152" s="8" t="s">
        <v>7</v>
      </c>
      <c r="E152" s="1" t="s">
        <v>512</v>
      </c>
      <c r="F152" s="8" t="s">
        <v>77</v>
      </c>
    </row>
    <row r="153" spans="1:6" ht="28" customHeight="1" x14ac:dyDescent="0.3">
      <c r="A153">
        <v>43</v>
      </c>
      <c r="B153" t="s">
        <v>513</v>
      </c>
      <c r="C153" s="8" t="s">
        <v>7</v>
      </c>
      <c r="D153" s="8" t="s">
        <v>7</v>
      </c>
      <c r="E153" s="1" t="s">
        <v>514</v>
      </c>
      <c r="F153" s="8" t="s">
        <v>7</v>
      </c>
    </row>
    <row r="154" spans="1:6" ht="28" customHeight="1" x14ac:dyDescent="0.3">
      <c r="A154">
        <v>44</v>
      </c>
      <c r="B154" t="s">
        <v>515</v>
      </c>
      <c r="C154" s="8" t="s">
        <v>7</v>
      </c>
      <c r="D154" s="8" t="s">
        <v>7</v>
      </c>
      <c r="E154" s="1" t="s">
        <v>516</v>
      </c>
      <c r="F154" s="8" t="s">
        <v>77</v>
      </c>
    </row>
    <row r="155" spans="1:6" ht="28" customHeight="1" x14ac:dyDescent="0.3">
      <c r="A155">
        <v>45</v>
      </c>
      <c r="B155" t="s">
        <v>517</v>
      </c>
      <c r="C155" s="8" t="s">
        <v>7</v>
      </c>
      <c r="D155" s="8" t="s">
        <v>7</v>
      </c>
      <c r="E155" s="1" t="s">
        <v>518</v>
      </c>
      <c r="F155" s="8" t="s">
        <v>7</v>
      </c>
    </row>
    <row r="156" spans="1:6" ht="28" customHeight="1" x14ac:dyDescent="0.3">
      <c r="A156">
        <v>46</v>
      </c>
      <c r="B156" t="s">
        <v>519</v>
      </c>
      <c r="C156" s="8" t="s">
        <v>7</v>
      </c>
      <c r="D156" s="8" t="s">
        <v>7</v>
      </c>
      <c r="E156" s="1" t="s">
        <v>520</v>
      </c>
      <c r="F156" s="8" t="s">
        <v>77</v>
      </c>
    </row>
    <row r="157" spans="1:6" ht="28" customHeight="1" x14ac:dyDescent="0.3">
      <c r="A157">
        <v>47</v>
      </c>
      <c r="B157" t="s">
        <v>521</v>
      </c>
      <c r="C157" s="8" t="s">
        <v>7</v>
      </c>
      <c r="D157" s="8" t="s">
        <v>7</v>
      </c>
      <c r="E157" s="1" t="s">
        <v>522</v>
      </c>
      <c r="F157" s="8" t="s">
        <v>7</v>
      </c>
    </row>
    <row r="158" spans="1:6" ht="28" customHeight="1" x14ac:dyDescent="0.3">
      <c r="A158">
        <v>48</v>
      </c>
      <c r="B158" t="s">
        <v>523</v>
      </c>
      <c r="C158" s="8" t="s">
        <v>7</v>
      </c>
      <c r="D158" s="8" t="s">
        <v>7</v>
      </c>
      <c r="E158" s="1" t="s">
        <v>524</v>
      </c>
      <c r="F158" s="8" t="s">
        <v>77</v>
      </c>
    </row>
    <row r="159" spans="1:6" ht="28" customHeight="1" x14ac:dyDescent="0.3">
      <c r="A159">
        <v>49</v>
      </c>
      <c r="B159" t="s">
        <v>525</v>
      </c>
      <c r="C159" s="8" t="s">
        <v>7</v>
      </c>
      <c r="D159" s="8" t="s">
        <v>7</v>
      </c>
      <c r="E159" s="1" t="s">
        <v>526</v>
      </c>
      <c r="F159" s="8" t="s">
        <v>77</v>
      </c>
    </row>
    <row r="160" spans="1:6" ht="28" customHeight="1" x14ac:dyDescent="0.3">
      <c r="A160">
        <v>50</v>
      </c>
      <c r="B160" t="s">
        <v>527</v>
      </c>
      <c r="C160" s="8" t="s">
        <v>7</v>
      </c>
      <c r="D160" s="8" t="s">
        <v>7</v>
      </c>
      <c r="E160" s="1" t="s">
        <v>528</v>
      </c>
      <c r="F160" s="8" t="s">
        <v>77</v>
      </c>
    </row>
    <row r="161" spans="1:6" ht="28" customHeight="1" x14ac:dyDescent="0.3">
      <c r="A161">
        <v>51</v>
      </c>
      <c r="B161" t="s">
        <v>68</v>
      </c>
      <c r="C161" s="8" t="s">
        <v>7</v>
      </c>
      <c r="D161" s="8" t="s">
        <v>7</v>
      </c>
      <c r="E161" s="1" t="s">
        <v>529</v>
      </c>
      <c r="F161" s="8" t="s">
        <v>77</v>
      </c>
    </row>
    <row r="162" spans="1:6" ht="28" customHeight="1" x14ac:dyDescent="0.3">
      <c r="A162">
        <v>52</v>
      </c>
      <c r="B162" t="s">
        <v>530</v>
      </c>
      <c r="C162" s="8" t="s">
        <v>7</v>
      </c>
      <c r="D162" s="8" t="s">
        <v>7</v>
      </c>
      <c r="E162" s="1" t="s">
        <v>531</v>
      </c>
      <c r="F162" s="8" t="s">
        <v>77</v>
      </c>
    </row>
    <row r="163" spans="1:6" ht="28" customHeight="1" x14ac:dyDescent="0.3">
      <c r="A163">
        <v>53</v>
      </c>
      <c r="B163" t="s">
        <v>532</v>
      </c>
      <c r="C163" s="8" t="s">
        <v>7</v>
      </c>
      <c r="D163" s="8" t="s">
        <v>7</v>
      </c>
      <c r="E163" s="1" t="s">
        <v>533</v>
      </c>
      <c r="F163" s="8" t="s">
        <v>77</v>
      </c>
    </row>
    <row r="164" spans="1:6" ht="28" customHeight="1" x14ac:dyDescent="0.3">
      <c r="A164">
        <v>54</v>
      </c>
      <c r="B164" t="s">
        <v>534</v>
      </c>
      <c r="C164" s="8" t="s">
        <v>7</v>
      </c>
      <c r="D164" s="8" t="s">
        <v>7</v>
      </c>
      <c r="E164" s="1" t="s">
        <v>535</v>
      </c>
      <c r="F164" s="8" t="s">
        <v>77</v>
      </c>
    </row>
    <row r="165" spans="1:6" ht="28" customHeight="1" x14ac:dyDescent="0.3">
      <c r="A165">
        <v>55</v>
      </c>
      <c r="B165" t="s">
        <v>536</v>
      </c>
      <c r="C165" s="8" t="s">
        <v>7</v>
      </c>
      <c r="D165" s="8" t="s">
        <v>7</v>
      </c>
      <c r="E165" s="1" t="s">
        <v>537</v>
      </c>
      <c r="F165" s="8" t="s">
        <v>77</v>
      </c>
    </row>
    <row r="166" spans="1:6" ht="28" customHeight="1" x14ac:dyDescent="0.3">
      <c r="A166">
        <v>56</v>
      </c>
      <c r="B166" t="s">
        <v>538</v>
      </c>
      <c r="C166" s="8" t="s">
        <v>7</v>
      </c>
      <c r="D166" s="8" t="s">
        <v>7</v>
      </c>
      <c r="E166" s="1" t="s">
        <v>539</v>
      </c>
      <c r="F166" s="8" t="s">
        <v>77</v>
      </c>
    </row>
    <row r="167" spans="1:6" ht="28" customHeight="1" x14ac:dyDescent="0.3">
      <c r="A167">
        <v>57</v>
      </c>
      <c r="B167" t="s">
        <v>540</v>
      </c>
      <c r="C167" s="8" t="s">
        <v>7</v>
      </c>
      <c r="D167" s="8" t="s">
        <v>7</v>
      </c>
      <c r="E167" s="1" t="s">
        <v>541</v>
      </c>
      <c r="F167" s="8" t="s">
        <v>77</v>
      </c>
    </row>
    <row r="168" spans="1:6" ht="28" customHeight="1" x14ac:dyDescent="0.3">
      <c r="A168">
        <v>58</v>
      </c>
      <c r="B168" t="s">
        <v>542</v>
      </c>
      <c r="C168" s="8" t="s">
        <v>7</v>
      </c>
      <c r="D168" s="8" t="s">
        <v>7</v>
      </c>
      <c r="E168" s="1" t="s">
        <v>543</v>
      </c>
      <c r="F168" s="8" t="s">
        <v>77</v>
      </c>
    </row>
    <row r="169" spans="1:6" ht="28" customHeight="1" x14ac:dyDescent="0.3">
      <c r="A169">
        <v>59</v>
      </c>
      <c r="B169" t="s">
        <v>544</v>
      </c>
      <c r="C169" s="8" t="s">
        <v>7</v>
      </c>
      <c r="D169" s="8" t="s">
        <v>7</v>
      </c>
      <c r="E169" s="1" t="s">
        <v>545</v>
      </c>
      <c r="F169" s="8" t="s">
        <v>77</v>
      </c>
    </row>
    <row r="170" spans="1:6" ht="28" customHeight="1" x14ac:dyDescent="0.3">
      <c r="A170">
        <v>60</v>
      </c>
      <c r="B170" t="s">
        <v>546</v>
      </c>
      <c r="C170" s="8" t="s">
        <v>7</v>
      </c>
      <c r="D170" s="8" t="s">
        <v>7</v>
      </c>
      <c r="E170" s="1" t="s">
        <v>547</v>
      </c>
      <c r="F170" s="8" t="s">
        <v>77</v>
      </c>
    </row>
  </sheetData>
  <phoneticPr fontId="6" type="noConversion"/>
  <conditionalFormatting sqref="B66:C66 E66 G66:XFD66">
    <cfRule type="duplicateValues" dxfId="59" priority="9"/>
  </conditionalFormatting>
  <conditionalFormatting sqref="C2:C99 D3:D95 D97:D99 C100:D100 C101:C106">
    <cfRule type="containsText" dxfId="58" priority="107" operator="containsText" text="Yes">
      <formula>NOT(ISERROR(SEARCH("Yes",C2)))</formula>
    </cfRule>
    <cfRule type="containsText" dxfId="57" priority="108" operator="containsText" text="No">
      <formula>NOT(ISERROR(SEARCH("No",C2)))</formula>
    </cfRule>
  </conditionalFormatting>
  <conditionalFormatting sqref="C107">
    <cfRule type="containsText" dxfId="56" priority="16" operator="containsText" text="Uploaded">
      <formula>NOT(ISERROR(SEARCH("Uploaded",C107)))</formula>
    </cfRule>
  </conditionalFormatting>
  <conditionalFormatting sqref="C2:D157">
    <cfRule type="containsText" dxfId="55" priority="17" operator="containsText" text="No">
      <formula>NOT(ISERROR(SEARCH("No",C2)))</formula>
    </cfRule>
    <cfRule type="containsText" dxfId="54" priority="109" operator="containsText" text="Yes">
      <formula>NOT(ISERROR(SEARCH("Yes",C2)))</formula>
    </cfRule>
  </conditionalFormatting>
  <conditionalFormatting sqref="D102:D106">
    <cfRule type="containsText" dxfId="51" priority="10" operator="containsText" text="Yes">
      <formula>NOT(ISERROR(SEARCH("Yes",D102)))</formula>
    </cfRule>
    <cfRule type="containsText" dxfId="50" priority="11" operator="containsText" text="No">
      <formula>NOT(ISERROR(SEARCH("No",D102)))</formula>
    </cfRule>
  </conditionalFormatting>
  <conditionalFormatting sqref="D107:D157 D1:D2 D96 D101 D171:D1048576">
    <cfRule type="containsText" dxfId="49" priority="105" operator="containsText" text="Uploaded">
      <formula>NOT(ISERROR(SEARCH("Uploaded",D1)))</formula>
    </cfRule>
  </conditionalFormatting>
  <conditionalFormatting sqref="F2:F65 F67:F170">
    <cfRule type="containsText" dxfId="48" priority="19" operator="containsText" text="No">
      <formula>NOT(ISERROR(SEARCH("No",F2)))</formula>
    </cfRule>
  </conditionalFormatting>
  <conditionalFormatting sqref="F2:F170">
    <cfRule type="containsText" dxfId="47" priority="8" operator="containsText" text="Yes">
      <formula>NOT(ISERROR(SEARCH("Yes",F2)))</formula>
    </cfRule>
  </conditionalFormatting>
  <conditionalFormatting sqref="F66">
    <cfRule type="containsText" dxfId="46" priority="5" operator="containsText" text="No">
      <formula>NOT(ISERROR(SEARCH("No",F66)))</formula>
    </cfRule>
    <cfRule type="containsText" dxfId="45" priority="6" operator="containsText" text="Yes">
      <formula>NOT(ISERROR(SEARCH("Yes",F66)))</formula>
    </cfRule>
    <cfRule type="containsText" dxfId="44" priority="7" operator="containsText" text="No">
      <formula>NOT(ISERROR(SEARCH("No",F66)))</formula>
    </cfRule>
  </conditionalFormatting>
  <conditionalFormatting sqref="C158:D170">
    <cfRule type="containsText" dxfId="1" priority="1" operator="containsText" text="No">
      <formula>NOT(ISERROR(SEARCH("No",C158)))</formula>
    </cfRule>
    <cfRule type="containsText" dxfId="0" priority="2" operator="containsText" text="Yes">
      <formula>NOT(ISERROR(SEARCH("Yes",C158)))</formula>
    </cfRule>
  </conditionalFormatting>
  <dataValidations count="2">
    <dataValidation type="list" showInputMessage="1" showErrorMessage="1" sqref="C2:C96 C97:D100 C101:C106 D3:D95 D102:D106 F66" xr:uid="{00000000-0002-0000-0100-000000000000}">
      <formula1>"Yes,No"</formula1>
    </dataValidation>
    <dataValidation type="list" sqref="F2:F170 C2:D170" xr:uid="{00000000-0002-0000-0100-000001000000}">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8"/>
  <sheetViews>
    <sheetView topLeftCell="A8" zoomScale="55" zoomScaleNormal="55" workbookViewId="0">
      <selection activeCell="E74" sqref="E74"/>
    </sheetView>
  </sheetViews>
  <sheetFormatPr defaultColWidth="8.75" defaultRowHeight="14" x14ac:dyDescent="0.3"/>
  <cols>
    <col min="2" max="2" width="38" style="22" customWidth="1"/>
    <col min="3" max="3" width="14" style="22" customWidth="1"/>
    <col min="4" max="4" width="14" style="15" customWidth="1"/>
    <col min="5" max="5" width="120" style="22" customWidth="1"/>
    <col min="6" max="6" width="14" style="22" customWidth="1"/>
  </cols>
  <sheetData>
    <row r="1" spans="1:6" ht="22" customHeight="1" x14ac:dyDescent="0.3">
      <c r="B1" s="4" t="s">
        <v>0</v>
      </c>
      <c r="C1" s="4" t="s">
        <v>1</v>
      </c>
      <c r="D1" s="14" t="s">
        <v>2</v>
      </c>
      <c r="E1" s="4" t="s">
        <v>3</v>
      </c>
      <c r="F1" s="4" t="s">
        <v>4</v>
      </c>
    </row>
    <row r="2" spans="1:6" s="3" customFormat="1" ht="22" customHeight="1" thickBot="1" x14ac:dyDescent="0.35">
      <c r="B2" s="2" t="s">
        <v>5</v>
      </c>
      <c r="C2" s="2"/>
      <c r="D2" s="9"/>
      <c r="E2" s="2"/>
      <c r="F2" s="9"/>
    </row>
    <row r="3" spans="1:6" ht="22" customHeight="1" thickTop="1" x14ac:dyDescent="0.3">
      <c r="A3">
        <v>1</v>
      </c>
      <c r="B3" s="1" t="s">
        <v>6</v>
      </c>
      <c r="C3" s="13" t="s">
        <v>7</v>
      </c>
      <c r="D3" s="8" t="s">
        <v>7</v>
      </c>
      <c r="E3" s="1" t="s">
        <v>8</v>
      </c>
      <c r="F3" s="8" t="s">
        <v>7</v>
      </c>
    </row>
    <row r="4" spans="1:6" ht="22" customHeight="1" x14ac:dyDescent="0.3">
      <c r="A4">
        <v>2</v>
      </c>
      <c r="B4" s="1" t="s">
        <v>9</v>
      </c>
      <c r="C4" s="8" t="s">
        <v>7</v>
      </c>
      <c r="D4" s="8" t="s">
        <v>7</v>
      </c>
      <c r="E4" s="1" t="s">
        <v>10</v>
      </c>
      <c r="F4" s="8" t="s">
        <v>7</v>
      </c>
    </row>
    <row r="5" spans="1:6" ht="22" customHeight="1" x14ac:dyDescent="0.3">
      <c r="A5">
        <v>3</v>
      </c>
      <c r="B5" s="1" t="s">
        <v>11</v>
      </c>
      <c r="C5" s="8" t="s">
        <v>7</v>
      </c>
      <c r="D5" s="11" t="s">
        <v>7</v>
      </c>
      <c r="E5" s="1" t="s">
        <v>12</v>
      </c>
      <c r="F5" s="11" t="s">
        <v>7</v>
      </c>
    </row>
    <row r="6" spans="1:6" ht="22" customHeight="1" x14ac:dyDescent="0.3">
      <c r="A6">
        <v>4</v>
      </c>
      <c r="B6" s="1" t="s">
        <v>13</v>
      </c>
      <c r="C6" s="8" t="s">
        <v>7</v>
      </c>
      <c r="D6" s="8" t="s">
        <v>7</v>
      </c>
      <c r="E6" s="1" t="s">
        <v>14</v>
      </c>
      <c r="F6" s="8" t="s">
        <v>7</v>
      </c>
    </row>
    <row r="7" spans="1:6" ht="22" customHeight="1" x14ac:dyDescent="0.3">
      <c r="A7">
        <v>5</v>
      </c>
      <c r="B7" s="1" t="s">
        <v>15</v>
      </c>
      <c r="C7" s="11" t="s">
        <v>7</v>
      </c>
      <c r="D7" s="8" t="s">
        <v>7</v>
      </c>
      <c r="E7" s="1" t="s">
        <v>16</v>
      </c>
      <c r="F7" s="8" t="s">
        <v>7</v>
      </c>
    </row>
    <row r="8" spans="1:6" ht="22" customHeight="1" x14ac:dyDescent="0.3">
      <c r="A8">
        <v>6</v>
      </c>
      <c r="B8" s="1" t="s">
        <v>17</v>
      </c>
      <c r="C8" s="8" t="s">
        <v>7</v>
      </c>
      <c r="D8" s="8" t="s">
        <v>7</v>
      </c>
      <c r="E8" s="1" t="s">
        <v>18</v>
      </c>
      <c r="F8" s="8" t="s">
        <v>7</v>
      </c>
    </row>
    <row r="9" spans="1:6" ht="22" customHeight="1" x14ac:dyDescent="0.3">
      <c r="A9">
        <v>7</v>
      </c>
      <c r="B9" s="1" t="s">
        <v>19</v>
      </c>
      <c r="C9" s="8" t="s">
        <v>7</v>
      </c>
      <c r="D9" s="8" t="s">
        <v>7</v>
      </c>
      <c r="E9" s="23" t="s">
        <v>20</v>
      </c>
      <c r="F9" s="8" t="s">
        <v>7</v>
      </c>
    </row>
    <row r="10" spans="1:6" ht="22" customHeight="1" x14ac:dyDescent="0.3">
      <c r="A10">
        <v>8</v>
      </c>
      <c r="B10" s="1" t="s">
        <v>21</v>
      </c>
      <c r="C10" s="11" t="s">
        <v>7</v>
      </c>
      <c r="D10" s="8" t="s">
        <v>7</v>
      </c>
      <c r="E10" s="1" t="s">
        <v>22</v>
      </c>
      <c r="F10" s="8" t="s">
        <v>7</v>
      </c>
    </row>
    <row r="11" spans="1:6" ht="22" customHeight="1" x14ac:dyDescent="0.3">
      <c r="A11">
        <v>9</v>
      </c>
      <c r="B11" s="1" t="s">
        <v>23</v>
      </c>
      <c r="C11" s="8" t="s">
        <v>7</v>
      </c>
      <c r="D11" s="8" t="s">
        <v>7</v>
      </c>
      <c r="E11" s="1" t="s">
        <v>24</v>
      </c>
      <c r="F11" s="8" t="s">
        <v>7</v>
      </c>
    </row>
    <row r="12" spans="1:6" ht="22" customHeight="1" x14ac:dyDescent="0.3">
      <c r="A12">
        <v>10</v>
      </c>
      <c r="B12" s="1" t="s">
        <v>25</v>
      </c>
      <c r="C12" s="8" t="s">
        <v>7</v>
      </c>
      <c r="D12" s="8" t="s">
        <v>7</v>
      </c>
      <c r="E12" s="1" t="s">
        <v>26</v>
      </c>
      <c r="F12" s="8" t="s">
        <v>7</v>
      </c>
    </row>
    <row r="13" spans="1:6" ht="22" customHeight="1" x14ac:dyDescent="0.3">
      <c r="A13">
        <v>11</v>
      </c>
      <c r="B13" s="1" t="s">
        <v>27</v>
      </c>
      <c r="C13" s="11" t="s">
        <v>7</v>
      </c>
      <c r="D13" s="8" t="s">
        <v>7</v>
      </c>
      <c r="E13" s="1" t="s">
        <v>28</v>
      </c>
      <c r="F13" s="8" t="s">
        <v>7</v>
      </c>
    </row>
    <row r="14" spans="1:6" ht="22" customHeight="1" x14ac:dyDescent="0.3">
      <c r="A14">
        <v>12</v>
      </c>
      <c r="B14" s="1" t="s">
        <v>29</v>
      </c>
      <c r="C14" s="8" t="s">
        <v>7</v>
      </c>
      <c r="D14" s="8" t="s">
        <v>7</v>
      </c>
      <c r="E14" s="1" t="s">
        <v>30</v>
      </c>
      <c r="F14" s="8" t="s">
        <v>7</v>
      </c>
    </row>
    <row r="15" spans="1:6" s="3" customFormat="1" ht="22" customHeight="1" thickBot="1" x14ac:dyDescent="0.35">
      <c r="B15" s="2" t="s">
        <v>31</v>
      </c>
      <c r="C15" s="2"/>
      <c r="D15" s="9"/>
      <c r="E15" s="2"/>
      <c r="F15" s="9"/>
    </row>
    <row r="16" spans="1:6" ht="22" customHeight="1" thickTop="1" x14ac:dyDescent="0.3">
      <c r="A16">
        <f>A14+1</f>
        <v>13</v>
      </c>
      <c r="B16" s="1" t="s">
        <v>32</v>
      </c>
      <c r="C16" s="8" t="s">
        <v>7</v>
      </c>
      <c r="D16" s="8" t="s">
        <v>7</v>
      </c>
      <c r="E16" s="1" t="s">
        <v>33</v>
      </c>
      <c r="F16" s="8" t="s">
        <v>7</v>
      </c>
    </row>
    <row r="17" spans="1:6" ht="22" customHeight="1" x14ac:dyDescent="0.3">
      <c r="A17">
        <f t="shared" ref="A17:A31" si="0">A16+1</f>
        <v>14</v>
      </c>
      <c r="B17" s="1" t="s">
        <v>34</v>
      </c>
      <c r="C17" s="8" t="s">
        <v>7</v>
      </c>
      <c r="D17" s="8" t="s">
        <v>7</v>
      </c>
      <c r="E17" s="1" t="s">
        <v>35</v>
      </c>
      <c r="F17" s="8" t="s">
        <v>7</v>
      </c>
    </row>
    <row r="18" spans="1:6" ht="22" customHeight="1" x14ac:dyDescent="0.3">
      <c r="A18">
        <f t="shared" si="0"/>
        <v>15</v>
      </c>
      <c r="B18" s="1" t="s">
        <v>36</v>
      </c>
      <c r="C18" s="11" t="s">
        <v>7</v>
      </c>
      <c r="D18" s="8" t="s">
        <v>7</v>
      </c>
      <c r="E18" s="24" t="s">
        <v>37</v>
      </c>
      <c r="F18" s="8" t="s">
        <v>7</v>
      </c>
    </row>
    <row r="19" spans="1:6" ht="22" customHeight="1" x14ac:dyDescent="0.3">
      <c r="A19">
        <f t="shared" si="0"/>
        <v>16</v>
      </c>
      <c r="B19" s="1" t="s">
        <v>38</v>
      </c>
      <c r="C19" s="8" t="s">
        <v>7</v>
      </c>
      <c r="D19" s="8" t="s">
        <v>7</v>
      </c>
      <c r="E19" s="1" t="s">
        <v>39</v>
      </c>
      <c r="F19" s="8" t="s">
        <v>7</v>
      </c>
    </row>
    <row r="20" spans="1:6" ht="22" customHeight="1" x14ac:dyDescent="0.3">
      <c r="A20">
        <f t="shared" si="0"/>
        <v>17</v>
      </c>
      <c r="B20" s="1" t="s">
        <v>40</v>
      </c>
      <c r="C20" s="8" t="s">
        <v>7</v>
      </c>
      <c r="D20" s="11" t="s">
        <v>7</v>
      </c>
      <c r="E20" s="1" t="s">
        <v>41</v>
      </c>
      <c r="F20" s="11" t="s">
        <v>7</v>
      </c>
    </row>
    <row r="21" spans="1:6" ht="22" customHeight="1" x14ac:dyDescent="0.3">
      <c r="A21">
        <f t="shared" si="0"/>
        <v>18</v>
      </c>
      <c r="B21" s="1" t="s">
        <v>42</v>
      </c>
      <c r="C21" s="11" t="s">
        <v>7</v>
      </c>
      <c r="D21" s="8" t="s">
        <v>7</v>
      </c>
      <c r="E21" s="1" t="s">
        <v>43</v>
      </c>
      <c r="F21" s="8" t="s">
        <v>7</v>
      </c>
    </row>
    <row r="22" spans="1:6" ht="22" customHeight="1" x14ac:dyDescent="0.3">
      <c r="A22">
        <f t="shared" si="0"/>
        <v>19</v>
      </c>
      <c r="B22" s="1" t="s">
        <v>44</v>
      </c>
      <c r="C22" s="11" t="s">
        <v>7</v>
      </c>
      <c r="D22" s="8" t="s">
        <v>7</v>
      </c>
      <c r="E22" s="1" t="s">
        <v>45</v>
      </c>
      <c r="F22" s="8" t="s">
        <v>7</v>
      </c>
    </row>
    <row r="23" spans="1:6" ht="22" customHeight="1" x14ac:dyDescent="0.3">
      <c r="A23">
        <f t="shared" si="0"/>
        <v>20</v>
      </c>
      <c r="B23" s="1" t="s">
        <v>46</v>
      </c>
      <c r="C23" s="8" t="s">
        <v>7</v>
      </c>
      <c r="D23" s="8" t="s">
        <v>7</v>
      </c>
      <c r="E23" s="1" t="s">
        <v>47</v>
      </c>
      <c r="F23" s="8" t="s">
        <v>7</v>
      </c>
    </row>
    <row r="24" spans="1:6" ht="22" customHeight="1" x14ac:dyDescent="0.3">
      <c r="A24">
        <f t="shared" si="0"/>
        <v>21</v>
      </c>
      <c r="B24" s="1" t="s">
        <v>48</v>
      </c>
      <c r="C24" s="8" t="s">
        <v>7</v>
      </c>
      <c r="D24" s="11" t="s">
        <v>7</v>
      </c>
      <c r="E24" s="1" t="s">
        <v>49</v>
      </c>
      <c r="F24" s="11" t="s">
        <v>7</v>
      </c>
    </row>
    <row r="25" spans="1:6" ht="22" customHeight="1" x14ac:dyDescent="0.3">
      <c r="A25">
        <f t="shared" si="0"/>
        <v>22</v>
      </c>
      <c r="B25" s="1" t="s">
        <v>50</v>
      </c>
      <c r="C25" s="11" t="s">
        <v>7</v>
      </c>
      <c r="D25" s="11" t="s">
        <v>7</v>
      </c>
      <c r="E25" s="1" t="s">
        <v>51</v>
      </c>
      <c r="F25" s="11" t="s">
        <v>7</v>
      </c>
    </row>
    <row r="26" spans="1:6" ht="22" customHeight="1" x14ac:dyDescent="0.3">
      <c r="A26">
        <f t="shared" si="0"/>
        <v>23</v>
      </c>
      <c r="B26" s="1" t="s">
        <v>52</v>
      </c>
      <c r="C26" s="8" t="s">
        <v>7</v>
      </c>
      <c r="D26" s="8" t="s">
        <v>7</v>
      </c>
      <c r="E26" s="1" t="s">
        <v>53</v>
      </c>
      <c r="F26" s="8" t="s">
        <v>7</v>
      </c>
    </row>
    <row r="27" spans="1:6" ht="22" customHeight="1" x14ac:dyDescent="0.3">
      <c r="A27">
        <f t="shared" si="0"/>
        <v>24</v>
      </c>
      <c r="B27" s="1" t="s">
        <v>54</v>
      </c>
      <c r="C27" s="8" t="s">
        <v>7</v>
      </c>
      <c r="D27" s="8" t="s">
        <v>7</v>
      </c>
      <c r="E27" s="1" t="s">
        <v>55</v>
      </c>
      <c r="F27" s="8" t="s">
        <v>7</v>
      </c>
    </row>
    <row r="28" spans="1:6" ht="22" customHeight="1" x14ac:dyDescent="0.3">
      <c r="A28">
        <f t="shared" si="0"/>
        <v>25</v>
      </c>
      <c r="B28" s="1" t="s">
        <v>56</v>
      </c>
      <c r="C28" s="8" t="s">
        <v>7</v>
      </c>
      <c r="D28" s="8" t="s">
        <v>7</v>
      </c>
      <c r="E28" s="1" t="s">
        <v>57</v>
      </c>
      <c r="F28" s="8" t="s">
        <v>7</v>
      </c>
    </row>
    <row r="29" spans="1:6" ht="22" customHeight="1" x14ac:dyDescent="0.3">
      <c r="A29">
        <f t="shared" si="0"/>
        <v>26</v>
      </c>
      <c r="B29" s="1" t="s">
        <v>58</v>
      </c>
      <c r="C29" s="11" t="s">
        <v>7</v>
      </c>
      <c r="D29" s="11" t="s">
        <v>7</v>
      </c>
      <c r="E29" s="1" t="s">
        <v>59</v>
      </c>
      <c r="F29" s="11" t="s">
        <v>7</v>
      </c>
    </row>
    <row r="30" spans="1:6" ht="22" customHeight="1" x14ac:dyDescent="0.3">
      <c r="A30">
        <f t="shared" si="0"/>
        <v>27</v>
      </c>
      <c r="B30" s="1" t="s">
        <v>60</v>
      </c>
      <c r="C30" s="8" t="s">
        <v>7</v>
      </c>
      <c r="D30" s="8" t="s">
        <v>7</v>
      </c>
      <c r="E30" s="1" t="s">
        <v>61</v>
      </c>
      <c r="F30" s="8" t="s">
        <v>7</v>
      </c>
    </row>
    <row r="31" spans="1:6" ht="22" customHeight="1" x14ac:dyDescent="0.3">
      <c r="A31">
        <f t="shared" si="0"/>
        <v>28</v>
      </c>
      <c r="B31" s="1" t="s">
        <v>62</v>
      </c>
      <c r="C31" s="8" t="s">
        <v>7</v>
      </c>
      <c r="D31" s="11" t="s">
        <v>7</v>
      </c>
      <c r="E31" s="1" t="s">
        <v>63</v>
      </c>
      <c r="F31" s="11" t="s">
        <v>7</v>
      </c>
    </row>
    <row r="32" spans="1:6" s="3" customFormat="1" ht="22" customHeight="1" thickBot="1" x14ac:dyDescent="0.35">
      <c r="B32" s="2" t="s">
        <v>64</v>
      </c>
      <c r="C32" s="2"/>
      <c r="D32" s="9"/>
      <c r="E32" s="2"/>
      <c r="F32" s="9"/>
    </row>
    <row r="33" spans="1:6" ht="22" customHeight="1" thickTop="1" x14ac:dyDescent="0.3">
      <c r="A33">
        <f>A31+1</f>
        <v>29</v>
      </c>
      <c r="B33" t="s">
        <v>65</v>
      </c>
      <c r="C33" s="8" t="s">
        <v>7</v>
      </c>
      <c r="D33" s="11" t="s">
        <v>7</v>
      </c>
      <c r="E33" s="1" t="s">
        <v>66</v>
      </c>
      <c r="F33" s="11" t="s">
        <v>7</v>
      </c>
    </row>
    <row r="34" spans="1:6" ht="22" customHeight="1" x14ac:dyDescent="0.3">
      <c r="A34">
        <f>A33+1</f>
        <v>30</v>
      </c>
      <c r="B34" s="1" t="s">
        <v>34</v>
      </c>
      <c r="C34" s="8" t="s">
        <v>7</v>
      </c>
      <c r="D34" s="11" t="s">
        <v>7</v>
      </c>
      <c r="E34" s="1" t="s">
        <v>67</v>
      </c>
      <c r="F34" s="11" t="s">
        <v>7</v>
      </c>
    </row>
    <row r="35" spans="1:6" ht="22" customHeight="1" x14ac:dyDescent="0.3">
      <c r="B35" s="1" t="s">
        <v>68</v>
      </c>
      <c r="C35" s="7" t="s">
        <v>7</v>
      </c>
      <c r="D35" s="11" t="s">
        <v>7</v>
      </c>
      <c r="E35" s="1" t="s">
        <v>69</v>
      </c>
      <c r="F35" s="11" t="s">
        <v>7</v>
      </c>
    </row>
    <row r="36" spans="1:6" ht="22" customHeight="1" x14ac:dyDescent="0.3">
      <c r="B36" s="1" t="s">
        <v>70</v>
      </c>
      <c r="C36" s="7" t="s">
        <v>7</v>
      </c>
      <c r="D36" s="11" t="s">
        <v>7</v>
      </c>
      <c r="E36" s="1" t="s">
        <v>71</v>
      </c>
      <c r="F36" s="11" t="s">
        <v>7</v>
      </c>
    </row>
    <row r="37" spans="1:6" s="3" customFormat="1" ht="22" customHeight="1" thickBot="1" x14ac:dyDescent="0.35">
      <c r="B37" s="2" t="s">
        <v>72</v>
      </c>
      <c r="C37" s="2"/>
      <c r="D37" s="9"/>
      <c r="E37" s="2"/>
      <c r="F37" s="9"/>
    </row>
    <row r="38" spans="1:6" ht="22" customHeight="1" thickTop="1" x14ac:dyDescent="0.3">
      <c r="A38">
        <f>A34+1</f>
        <v>31</v>
      </c>
      <c r="B38" s="1" t="s">
        <v>73</v>
      </c>
      <c r="C38" s="13" t="s">
        <v>7</v>
      </c>
      <c r="D38" s="8" t="s">
        <v>7</v>
      </c>
      <c r="E38" s="1" t="s">
        <v>74</v>
      </c>
      <c r="F38" s="8" t="s">
        <v>7</v>
      </c>
    </row>
    <row r="39" spans="1:6" ht="22" customHeight="1" x14ac:dyDescent="0.3">
      <c r="A39">
        <f>A38+1</f>
        <v>32</v>
      </c>
      <c r="B39" s="1" t="s">
        <v>75</v>
      </c>
      <c r="C39" s="12" t="s">
        <v>7</v>
      </c>
      <c r="D39" s="8" t="s">
        <v>7</v>
      </c>
      <c r="E39" t="s">
        <v>76</v>
      </c>
      <c r="F39" s="8" t="s">
        <v>77</v>
      </c>
    </row>
    <row r="40" spans="1:6" ht="22" customHeight="1" x14ac:dyDescent="0.3">
      <c r="A40">
        <f>A39+1</f>
        <v>33</v>
      </c>
      <c r="B40" s="1" t="s">
        <v>78</v>
      </c>
      <c r="C40" s="12" t="s">
        <v>7</v>
      </c>
      <c r="D40" s="8" t="s">
        <v>7</v>
      </c>
      <c r="E40" t="s">
        <v>79</v>
      </c>
      <c r="F40" s="8" t="s">
        <v>77</v>
      </c>
    </row>
    <row r="41" spans="1:6" s="3" customFormat="1" ht="22" customHeight="1" thickBot="1" x14ac:dyDescent="0.35">
      <c r="B41" s="2" t="s">
        <v>80</v>
      </c>
      <c r="C41" s="2"/>
      <c r="D41" s="9"/>
      <c r="E41" s="2"/>
      <c r="F41" s="9"/>
    </row>
    <row r="42" spans="1:6" ht="22" customHeight="1" thickTop="1" x14ac:dyDescent="0.3">
      <c r="A42">
        <f>A40+1</f>
        <v>34</v>
      </c>
      <c r="B42" t="s">
        <v>81</v>
      </c>
      <c r="C42" s="12" t="s">
        <v>7</v>
      </c>
      <c r="D42" s="12" t="s">
        <v>7</v>
      </c>
      <c r="E42" t="s">
        <v>82</v>
      </c>
      <c r="F42" s="12" t="s">
        <v>7</v>
      </c>
    </row>
    <row r="43" spans="1:6" ht="22" customHeight="1" x14ac:dyDescent="0.3">
      <c r="A43">
        <f>A42+1</f>
        <v>35</v>
      </c>
      <c r="B43" t="s">
        <v>83</v>
      </c>
      <c r="C43" s="12" t="s">
        <v>7</v>
      </c>
      <c r="D43" s="12" t="s">
        <v>7</v>
      </c>
      <c r="E43" t="s">
        <v>84</v>
      </c>
      <c r="F43" s="12" t="s">
        <v>7</v>
      </c>
    </row>
    <row r="44" spans="1:6" ht="22" customHeight="1" x14ac:dyDescent="0.3">
      <c r="A44">
        <f>A43+1</f>
        <v>36</v>
      </c>
      <c r="B44" t="s">
        <v>85</v>
      </c>
      <c r="C44" s="12" t="s">
        <v>7</v>
      </c>
      <c r="D44" s="12" t="s">
        <v>7</v>
      </c>
      <c r="E44" t="s">
        <v>86</v>
      </c>
      <c r="F44" s="12" t="s">
        <v>7</v>
      </c>
    </row>
    <row r="45" spans="1:6" ht="22" customHeight="1" x14ac:dyDescent="0.3">
      <c r="A45">
        <f>A44+1</f>
        <v>37</v>
      </c>
      <c r="B45" s="1" t="s">
        <v>87</v>
      </c>
      <c r="C45" s="12" t="s">
        <v>7</v>
      </c>
      <c r="D45" s="8" t="s">
        <v>7</v>
      </c>
      <c r="E45" t="s">
        <v>88</v>
      </c>
      <c r="F45" s="8" t="s">
        <v>7</v>
      </c>
    </row>
    <row r="46" spans="1:6" ht="22" customHeight="1" x14ac:dyDescent="0.3">
      <c r="A46">
        <f>A45+1</f>
        <v>38</v>
      </c>
      <c r="B46" t="s">
        <v>89</v>
      </c>
      <c r="C46" s="12" t="s">
        <v>77</v>
      </c>
      <c r="D46" s="12" t="s">
        <v>77</v>
      </c>
      <c r="F46" s="12"/>
    </row>
    <row r="47" spans="1:6" ht="22" customHeight="1" x14ac:dyDescent="0.3">
      <c r="A47">
        <f>A46+1</f>
        <v>39</v>
      </c>
      <c r="B47" t="s">
        <v>90</v>
      </c>
      <c r="C47" s="12" t="s">
        <v>77</v>
      </c>
      <c r="D47" s="12" t="s">
        <v>77</v>
      </c>
      <c r="F47" s="12"/>
    </row>
    <row r="48" spans="1:6" s="3" customFormat="1" ht="22" customHeight="1" thickBot="1" x14ac:dyDescent="0.35">
      <c r="B48" s="2" t="s">
        <v>72</v>
      </c>
      <c r="C48" s="2"/>
      <c r="D48" s="9"/>
      <c r="E48" s="2"/>
      <c r="F48" s="9"/>
    </row>
    <row r="49" spans="1:6" ht="22" customHeight="1" thickTop="1" x14ac:dyDescent="0.3">
      <c r="A49">
        <f>A45+1</f>
        <v>38</v>
      </c>
      <c r="B49" s="1" t="s">
        <v>73</v>
      </c>
      <c r="C49" s="12" t="s">
        <v>7</v>
      </c>
      <c r="D49" s="8" t="s">
        <v>7</v>
      </c>
      <c r="E49" t="s">
        <v>74</v>
      </c>
      <c r="F49" s="8" t="s">
        <v>7</v>
      </c>
    </row>
    <row r="50" spans="1:6" ht="22" customHeight="1" x14ac:dyDescent="0.3">
      <c r="B50" s="1" t="s">
        <v>25</v>
      </c>
      <c r="C50" s="20" t="s">
        <v>7</v>
      </c>
      <c r="D50" s="8" t="s">
        <v>7</v>
      </c>
      <c r="E50" t="s">
        <v>91</v>
      </c>
      <c r="F50" s="8" t="s">
        <v>7</v>
      </c>
    </row>
    <row r="51" spans="1:6" ht="22" customHeight="1" x14ac:dyDescent="0.3">
      <c r="B51" s="1" t="s">
        <v>75</v>
      </c>
      <c r="C51" s="20" t="s">
        <v>7</v>
      </c>
      <c r="D51" s="8" t="s">
        <v>7</v>
      </c>
      <c r="E51" t="s">
        <v>76</v>
      </c>
      <c r="F51" s="8" t="s">
        <v>77</v>
      </c>
    </row>
    <row r="52" spans="1:6" ht="22" customHeight="1" x14ac:dyDescent="0.3">
      <c r="B52" s="1" t="s">
        <v>78</v>
      </c>
      <c r="C52" s="20" t="s">
        <v>7</v>
      </c>
      <c r="D52" s="8" t="s">
        <v>7</v>
      </c>
      <c r="E52" t="s">
        <v>79</v>
      </c>
      <c r="F52" s="8" t="s">
        <v>77</v>
      </c>
    </row>
    <row r="53" spans="1:6" s="3" customFormat="1" ht="22" customHeight="1" thickBot="1" x14ac:dyDescent="0.35">
      <c r="B53" s="2" t="s">
        <v>92</v>
      </c>
      <c r="C53" s="2"/>
      <c r="D53" s="9"/>
      <c r="E53" s="2"/>
      <c r="F53" s="9"/>
    </row>
    <row r="54" spans="1:6" ht="22" customHeight="1" thickTop="1" x14ac:dyDescent="0.3">
      <c r="A54">
        <f>A47+1</f>
        <v>40</v>
      </c>
      <c r="B54" s="1" t="s">
        <v>87</v>
      </c>
      <c r="C54" s="12" t="s">
        <v>7</v>
      </c>
      <c r="D54" s="8" t="s">
        <v>7</v>
      </c>
      <c r="E54" t="s">
        <v>93</v>
      </c>
      <c r="F54" s="8" t="s">
        <v>7</v>
      </c>
    </row>
    <row r="55" spans="1:6" ht="22" customHeight="1" x14ac:dyDescent="0.3">
      <c r="A55">
        <f>A48+A531</f>
        <v>0</v>
      </c>
      <c r="B55" s="1" t="s">
        <v>94</v>
      </c>
      <c r="C55" s="12" t="s">
        <v>7</v>
      </c>
      <c r="D55" s="8" t="s">
        <v>7</v>
      </c>
      <c r="E55" t="s">
        <v>95</v>
      </c>
      <c r="F55" s="8" t="s">
        <v>7</v>
      </c>
    </row>
    <row r="56" spans="1:6" ht="22" customHeight="1" x14ac:dyDescent="0.3">
      <c r="A56">
        <f>A54+1</f>
        <v>41</v>
      </c>
      <c r="B56" s="1" t="s">
        <v>96</v>
      </c>
      <c r="C56" s="12" t="s">
        <v>7</v>
      </c>
      <c r="D56" s="8" t="s">
        <v>7</v>
      </c>
      <c r="E56" t="s">
        <v>97</v>
      </c>
      <c r="F56" s="8" t="s">
        <v>7</v>
      </c>
    </row>
    <row r="57" spans="1:6" ht="22" customHeight="1" x14ac:dyDescent="0.3">
      <c r="A57">
        <f>A56+1</f>
        <v>42</v>
      </c>
      <c r="B57" s="1" t="s">
        <v>98</v>
      </c>
      <c r="C57" s="12" t="s">
        <v>7</v>
      </c>
      <c r="D57" s="8" t="s">
        <v>7</v>
      </c>
      <c r="E57" t="s">
        <v>99</v>
      </c>
      <c r="F57" s="8" t="s">
        <v>7</v>
      </c>
    </row>
    <row r="58" spans="1:6" ht="22" customHeight="1" x14ac:dyDescent="0.3">
      <c r="A58">
        <f>A57+1</f>
        <v>43</v>
      </c>
      <c r="B58" s="1" t="s">
        <v>100</v>
      </c>
      <c r="C58" s="12" t="s">
        <v>7</v>
      </c>
      <c r="D58" s="8" t="s">
        <v>7</v>
      </c>
      <c r="E58" t="s">
        <v>101</v>
      </c>
      <c r="F58" s="8" t="s">
        <v>7</v>
      </c>
    </row>
    <row r="59" spans="1:6" ht="22" customHeight="1" x14ac:dyDescent="0.3">
      <c r="A59">
        <f>A58+1</f>
        <v>44</v>
      </c>
      <c r="B59" s="1" t="s">
        <v>102</v>
      </c>
      <c r="C59" s="12" t="s">
        <v>7</v>
      </c>
      <c r="D59" s="8" t="s">
        <v>7</v>
      </c>
      <c r="E59" t="s">
        <v>103</v>
      </c>
      <c r="F59" s="8" t="s">
        <v>7</v>
      </c>
    </row>
    <row r="60" spans="1:6" s="3" customFormat="1" ht="22" customHeight="1" thickBot="1" x14ac:dyDescent="0.35">
      <c r="B60" s="2" t="s">
        <v>104</v>
      </c>
      <c r="C60" s="2"/>
      <c r="D60" s="9"/>
      <c r="E60" s="2"/>
      <c r="F60" s="9"/>
    </row>
    <row r="61" spans="1:6" s="3" customFormat="1" ht="22" customHeight="1" thickTop="1" thickBot="1" x14ac:dyDescent="0.35">
      <c r="B61" s="2" t="s">
        <v>105</v>
      </c>
      <c r="C61" s="2"/>
      <c r="D61" s="9"/>
      <c r="E61" s="2"/>
      <c r="F61" s="9"/>
    </row>
    <row r="62" spans="1:6" ht="22" customHeight="1" thickTop="1" x14ac:dyDescent="0.3">
      <c r="A62">
        <f>A59+1</f>
        <v>45</v>
      </c>
      <c r="B62" s="1" t="s">
        <v>106</v>
      </c>
      <c r="C62" s="12" t="s">
        <v>7</v>
      </c>
      <c r="D62" s="8" t="s">
        <v>7</v>
      </c>
      <c r="E62" t="s">
        <v>107</v>
      </c>
      <c r="F62" s="8" t="s">
        <v>7</v>
      </c>
    </row>
    <row r="63" spans="1:6" ht="22" customHeight="1" x14ac:dyDescent="0.3">
      <c r="A63">
        <f t="shared" ref="A63:A68" si="1">A62+1</f>
        <v>46</v>
      </c>
      <c r="B63" s="1" t="s">
        <v>108</v>
      </c>
      <c r="C63" s="12" t="s">
        <v>7</v>
      </c>
      <c r="D63" s="8" t="s">
        <v>7</v>
      </c>
      <c r="E63" t="s">
        <v>109</v>
      </c>
      <c r="F63" s="8" t="s">
        <v>7</v>
      </c>
    </row>
    <row r="64" spans="1:6" ht="22" customHeight="1" x14ac:dyDescent="0.3">
      <c r="A64">
        <f t="shared" si="1"/>
        <v>47</v>
      </c>
      <c r="B64" s="1" t="s">
        <v>110</v>
      </c>
      <c r="C64" s="12" t="s">
        <v>7</v>
      </c>
      <c r="D64" s="8" t="s">
        <v>7</v>
      </c>
      <c r="E64" t="s">
        <v>111</v>
      </c>
      <c r="F64" s="8" t="s">
        <v>7</v>
      </c>
    </row>
    <row r="65" spans="1:6" ht="22" customHeight="1" x14ac:dyDescent="0.3">
      <c r="A65">
        <f t="shared" si="1"/>
        <v>48</v>
      </c>
      <c r="B65" s="1" t="s">
        <v>73</v>
      </c>
      <c r="C65" s="12" t="s">
        <v>7</v>
      </c>
      <c r="D65" s="8" t="s">
        <v>7</v>
      </c>
      <c r="E65" t="s">
        <v>112</v>
      </c>
      <c r="F65" s="8" t="s">
        <v>7</v>
      </c>
    </row>
    <row r="66" spans="1:6" ht="22" customHeight="1" x14ac:dyDescent="0.3">
      <c r="A66">
        <f t="shared" si="1"/>
        <v>49</v>
      </c>
      <c r="B66" s="1" t="s">
        <v>113</v>
      </c>
      <c r="C66" s="12" t="s">
        <v>7</v>
      </c>
      <c r="D66" s="8" t="s">
        <v>7</v>
      </c>
      <c r="E66" s="21" t="s">
        <v>114</v>
      </c>
      <c r="F66" s="8" t="s">
        <v>7</v>
      </c>
    </row>
    <row r="67" spans="1:6" ht="22" customHeight="1" x14ac:dyDescent="0.3">
      <c r="A67">
        <f t="shared" si="1"/>
        <v>50</v>
      </c>
      <c r="B67" s="1" t="s">
        <v>75</v>
      </c>
      <c r="C67" s="12" t="s">
        <v>7</v>
      </c>
      <c r="D67" s="8" t="s">
        <v>7</v>
      </c>
      <c r="E67" t="s">
        <v>76</v>
      </c>
      <c r="F67" s="8" t="s">
        <v>77</v>
      </c>
    </row>
    <row r="68" spans="1:6" ht="22" customHeight="1" x14ac:dyDescent="0.3">
      <c r="A68">
        <f t="shared" si="1"/>
        <v>51</v>
      </c>
      <c r="B68" s="1" t="s">
        <v>78</v>
      </c>
      <c r="C68" s="12" t="s">
        <v>7</v>
      </c>
      <c r="D68" s="8" t="s">
        <v>7</v>
      </c>
      <c r="E68" t="s">
        <v>79</v>
      </c>
      <c r="F68" s="8" t="s">
        <v>77</v>
      </c>
    </row>
    <row r="69" spans="1:6" s="3" customFormat="1" ht="22" customHeight="1" thickBot="1" x14ac:dyDescent="0.35">
      <c r="B69" s="2" t="s">
        <v>115</v>
      </c>
      <c r="C69" s="2"/>
      <c r="D69" s="9"/>
      <c r="E69" s="2"/>
      <c r="F69" s="9"/>
    </row>
    <row r="70" spans="1:6" ht="22" customHeight="1" thickTop="1" x14ac:dyDescent="0.3">
      <c r="A70">
        <f>A68+1</f>
        <v>52</v>
      </c>
      <c r="B70" s="1" t="s">
        <v>116</v>
      </c>
      <c r="C70" s="12" t="s">
        <v>7</v>
      </c>
      <c r="D70" s="8" t="s">
        <v>7</v>
      </c>
      <c r="E70" t="s">
        <v>117</v>
      </c>
      <c r="F70" s="8" t="s">
        <v>7</v>
      </c>
    </row>
    <row r="71" spans="1:6" ht="22" customHeight="1" x14ac:dyDescent="0.3">
      <c r="A71">
        <f>A70+1</f>
        <v>53</v>
      </c>
      <c r="B71" s="1" t="s">
        <v>118</v>
      </c>
      <c r="C71" s="12" t="s">
        <v>7</v>
      </c>
      <c r="D71" s="8" t="s">
        <v>7</v>
      </c>
      <c r="E71" t="s">
        <v>119</v>
      </c>
      <c r="F71" s="8" t="s">
        <v>7</v>
      </c>
    </row>
    <row r="72" spans="1:6" ht="22" customHeight="1" x14ac:dyDescent="0.3">
      <c r="A72">
        <f>A71+1</f>
        <v>54</v>
      </c>
      <c r="B72" s="1" t="s">
        <v>120</v>
      </c>
      <c r="C72" s="12" t="s">
        <v>7</v>
      </c>
      <c r="D72" s="8" t="s">
        <v>7</v>
      </c>
      <c r="E72" t="s">
        <v>121</v>
      </c>
      <c r="F72" s="8" t="s">
        <v>7</v>
      </c>
    </row>
    <row r="73" spans="1:6" ht="22" customHeight="1" x14ac:dyDescent="0.3">
      <c r="A73">
        <f>A72+1</f>
        <v>55</v>
      </c>
      <c r="B73" s="1" t="s">
        <v>122</v>
      </c>
      <c r="C73" s="12" t="s">
        <v>7</v>
      </c>
      <c r="D73" s="8" t="s">
        <v>7</v>
      </c>
      <c r="E73" t="s">
        <v>123</v>
      </c>
      <c r="F73" s="8" t="s">
        <v>7</v>
      </c>
    </row>
    <row r="74" spans="1:6" ht="22" customHeight="1" x14ac:dyDescent="0.3">
      <c r="A74">
        <f>A73+1</f>
        <v>56</v>
      </c>
      <c r="B74" s="1" t="s">
        <v>124</v>
      </c>
      <c r="C74" s="12" t="s">
        <v>7</v>
      </c>
      <c r="D74" s="8" t="s">
        <v>7</v>
      </c>
      <c r="E74" t="s">
        <v>125</v>
      </c>
      <c r="F74" s="8" t="s">
        <v>77</v>
      </c>
    </row>
    <row r="75" spans="1:6" s="3" customFormat="1" ht="22" customHeight="1" thickBot="1" x14ac:dyDescent="0.35">
      <c r="B75" s="2" t="s">
        <v>126</v>
      </c>
      <c r="C75" s="2"/>
      <c r="D75" s="2"/>
      <c r="E75" s="2"/>
      <c r="F75" s="2"/>
    </row>
    <row r="76" spans="1:6" ht="14.25" customHeight="1" thickTop="1" x14ac:dyDescent="0.3">
      <c r="B76" s="1"/>
      <c r="D76"/>
      <c r="F76"/>
    </row>
    <row r="77" spans="1:6" x14ac:dyDescent="0.3">
      <c r="D77"/>
      <c r="F77"/>
    </row>
    <row r="78" spans="1:6" x14ac:dyDescent="0.3">
      <c r="D78"/>
      <c r="F78"/>
    </row>
    <row r="79" spans="1:6" x14ac:dyDescent="0.3">
      <c r="D79"/>
      <c r="F79"/>
    </row>
    <row r="80" spans="1:6" x14ac:dyDescent="0.3">
      <c r="D80"/>
      <c r="F80"/>
    </row>
    <row r="81" spans="4:6" x14ac:dyDescent="0.3">
      <c r="D81"/>
      <c r="F81"/>
    </row>
    <row r="82" spans="4:6" x14ac:dyDescent="0.3">
      <c r="D82"/>
      <c r="F82"/>
    </row>
    <row r="83" spans="4:6" x14ac:dyDescent="0.3">
      <c r="D83"/>
      <c r="F83"/>
    </row>
    <row r="84" spans="4:6" x14ac:dyDescent="0.3">
      <c r="D84"/>
      <c r="F84"/>
    </row>
    <row r="85" spans="4:6" x14ac:dyDescent="0.3">
      <c r="D85"/>
      <c r="F85"/>
    </row>
    <row r="86" spans="4:6" x14ac:dyDescent="0.3">
      <c r="D86"/>
      <c r="F86"/>
    </row>
    <row r="87" spans="4:6" x14ac:dyDescent="0.3">
      <c r="D87"/>
      <c r="F87"/>
    </row>
    <row r="88" spans="4:6" x14ac:dyDescent="0.3">
      <c r="D88"/>
      <c r="F88"/>
    </row>
    <row r="89" spans="4:6" x14ac:dyDescent="0.3">
      <c r="D89"/>
      <c r="F89"/>
    </row>
    <row r="90" spans="4:6" x14ac:dyDescent="0.3">
      <c r="D90"/>
      <c r="F90"/>
    </row>
    <row r="91" spans="4:6" x14ac:dyDescent="0.3">
      <c r="D91"/>
      <c r="F91"/>
    </row>
    <row r="92" spans="4:6" x14ac:dyDescent="0.3">
      <c r="D92"/>
      <c r="F92"/>
    </row>
    <row r="93" spans="4:6" x14ac:dyDescent="0.3">
      <c r="D93"/>
      <c r="F93"/>
    </row>
    <row r="94" spans="4:6" x14ac:dyDescent="0.3">
      <c r="D94"/>
      <c r="F94"/>
    </row>
    <row r="95" spans="4:6" x14ac:dyDescent="0.3">
      <c r="D95"/>
      <c r="F95"/>
    </row>
    <row r="96" spans="4:6" x14ac:dyDescent="0.3">
      <c r="D96"/>
      <c r="F96"/>
    </row>
    <row r="97" spans="4:6" x14ac:dyDescent="0.3">
      <c r="D97"/>
      <c r="F97"/>
    </row>
    <row r="98" spans="4:6" x14ac:dyDescent="0.3">
      <c r="D98"/>
      <c r="F98"/>
    </row>
    <row r="99" spans="4:6" x14ac:dyDescent="0.3">
      <c r="D99"/>
      <c r="F99"/>
    </row>
    <row r="100" spans="4:6" x14ac:dyDescent="0.3">
      <c r="D100"/>
      <c r="F100"/>
    </row>
    <row r="101" spans="4:6" x14ac:dyDescent="0.3">
      <c r="D101"/>
      <c r="F101"/>
    </row>
    <row r="102" spans="4:6" x14ac:dyDescent="0.3">
      <c r="D102"/>
      <c r="F102"/>
    </row>
    <row r="103" spans="4:6" x14ac:dyDescent="0.3">
      <c r="D103"/>
      <c r="F103"/>
    </row>
    <row r="104" spans="4:6" x14ac:dyDescent="0.3">
      <c r="D104"/>
      <c r="F104"/>
    </row>
    <row r="105" spans="4:6" x14ac:dyDescent="0.3">
      <c r="D105"/>
      <c r="F105"/>
    </row>
    <row r="106" spans="4:6" x14ac:dyDescent="0.3">
      <c r="D106"/>
      <c r="F106"/>
    </row>
    <row r="107" spans="4:6" x14ac:dyDescent="0.3">
      <c r="D107"/>
      <c r="F107"/>
    </row>
    <row r="108" spans="4:6" x14ac:dyDescent="0.3">
      <c r="D108"/>
      <c r="F108"/>
    </row>
    <row r="109" spans="4:6" x14ac:dyDescent="0.3">
      <c r="D109"/>
      <c r="F109"/>
    </row>
    <row r="110" spans="4:6" x14ac:dyDescent="0.3">
      <c r="D110"/>
      <c r="F110"/>
    </row>
    <row r="111" spans="4:6" x14ac:dyDescent="0.3">
      <c r="D111"/>
      <c r="F111"/>
    </row>
    <row r="112" spans="4:6" x14ac:dyDescent="0.3">
      <c r="D112"/>
      <c r="F112"/>
    </row>
    <row r="113" spans="4:6" x14ac:dyDescent="0.3">
      <c r="D113"/>
      <c r="F113"/>
    </row>
    <row r="114" spans="4:6" x14ac:dyDescent="0.3">
      <c r="D114"/>
      <c r="F114"/>
    </row>
    <row r="115" spans="4:6" x14ac:dyDescent="0.3">
      <c r="D115"/>
      <c r="F115"/>
    </row>
    <row r="116" spans="4:6" x14ac:dyDescent="0.3">
      <c r="D116"/>
      <c r="F116"/>
    </row>
    <row r="117" spans="4:6" x14ac:dyDescent="0.3">
      <c r="D117"/>
      <c r="F117"/>
    </row>
    <row r="118" spans="4:6" x14ac:dyDescent="0.3">
      <c r="D118"/>
      <c r="F118"/>
    </row>
    <row r="119" spans="4:6" x14ac:dyDescent="0.3">
      <c r="D119"/>
      <c r="F119"/>
    </row>
    <row r="120" spans="4:6" x14ac:dyDescent="0.3">
      <c r="D120"/>
      <c r="F120"/>
    </row>
    <row r="121" spans="4:6" x14ac:dyDescent="0.3">
      <c r="D121"/>
      <c r="F121"/>
    </row>
    <row r="122" spans="4:6" x14ac:dyDescent="0.3">
      <c r="D122"/>
      <c r="F122"/>
    </row>
    <row r="123" spans="4:6" x14ac:dyDescent="0.3">
      <c r="D123"/>
      <c r="F123"/>
    </row>
    <row r="124" spans="4:6" x14ac:dyDescent="0.3">
      <c r="D124"/>
      <c r="F124"/>
    </row>
    <row r="125" spans="4:6" x14ac:dyDescent="0.3">
      <c r="D125"/>
      <c r="F125"/>
    </row>
    <row r="126" spans="4:6" x14ac:dyDescent="0.3">
      <c r="D126"/>
      <c r="F126"/>
    </row>
    <row r="127" spans="4:6" x14ac:dyDescent="0.3">
      <c r="D127"/>
      <c r="F127"/>
    </row>
    <row r="128" spans="4:6" x14ac:dyDescent="0.3">
      <c r="D128"/>
      <c r="F128"/>
    </row>
    <row r="129" spans="4:6" x14ac:dyDescent="0.3">
      <c r="D129"/>
      <c r="F129"/>
    </row>
    <row r="130" spans="4:6" x14ac:dyDescent="0.3">
      <c r="D130"/>
      <c r="F130"/>
    </row>
    <row r="131" spans="4:6" x14ac:dyDescent="0.3">
      <c r="D131"/>
      <c r="F131"/>
    </row>
    <row r="132" spans="4:6" x14ac:dyDescent="0.3">
      <c r="D132"/>
      <c r="F132"/>
    </row>
    <row r="133" spans="4:6" x14ac:dyDescent="0.3">
      <c r="D133"/>
      <c r="F133"/>
    </row>
    <row r="134" spans="4:6" x14ac:dyDescent="0.3">
      <c r="D134"/>
      <c r="F134"/>
    </row>
    <row r="135" spans="4:6" x14ac:dyDescent="0.3">
      <c r="D135"/>
      <c r="F135"/>
    </row>
    <row r="136" spans="4:6" x14ac:dyDescent="0.3">
      <c r="D136"/>
      <c r="F136"/>
    </row>
    <row r="137" spans="4:6" x14ac:dyDescent="0.3">
      <c r="D137"/>
      <c r="F137"/>
    </row>
    <row r="138" spans="4:6" x14ac:dyDescent="0.3">
      <c r="D138"/>
      <c r="F138"/>
    </row>
    <row r="139" spans="4:6" x14ac:dyDescent="0.3">
      <c r="D139"/>
      <c r="F139"/>
    </row>
    <row r="140" spans="4:6" x14ac:dyDescent="0.3">
      <c r="D140"/>
      <c r="F140"/>
    </row>
    <row r="141" spans="4:6" x14ac:dyDescent="0.3">
      <c r="D141"/>
      <c r="F141"/>
    </row>
    <row r="142" spans="4:6" x14ac:dyDescent="0.3">
      <c r="D142"/>
      <c r="F142"/>
    </row>
    <row r="143" spans="4:6" x14ac:dyDescent="0.3">
      <c r="D143"/>
      <c r="F143"/>
    </row>
    <row r="144" spans="4:6" x14ac:dyDescent="0.3">
      <c r="D144"/>
      <c r="F144"/>
    </row>
    <row r="145" spans="4:6" x14ac:dyDescent="0.3">
      <c r="D145"/>
      <c r="F145"/>
    </row>
    <row r="146" spans="4:6" x14ac:dyDescent="0.3">
      <c r="D146"/>
      <c r="F146"/>
    </row>
    <row r="147" spans="4:6" x14ac:dyDescent="0.3">
      <c r="D147"/>
      <c r="F147"/>
    </row>
    <row r="148" spans="4:6" x14ac:dyDescent="0.3">
      <c r="D148"/>
      <c r="F148"/>
    </row>
    <row r="149" spans="4:6" x14ac:dyDescent="0.3">
      <c r="D149"/>
      <c r="F149"/>
    </row>
    <row r="150" spans="4:6" x14ac:dyDescent="0.3">
      <c r="D150"/>
      <c r="F150"/>
    </row>
    <row r="151" spans="4:6" x14ac:dyDescent="0.3">
      <c r="D151"/>
      <c r="F151"/>
    </row>
    <row r="152" spans="4:6" x14ac:dyDescent="0.3">
      <c r="D152"/>
      <c r="F152"/>
    </row>
    <row r="153" spans="4:6" x14ac:dyDescent="0.3">
      <c r="D153"/>
      <c r="F153"/>
    </row>
    <row r="154" spans="4:6" x14ac:dyDescent="0.3">
      <c r="D154"/>
      <c r="F154"/>
    </row>
    <row r="155" spans="4:6" x14ac:dyDescent="0.3">
      <c r="D155"/>
      <c r="F155"/>
    </row>
    <row r="156" spans="4:6" x14ac:dyDescent="0.3">
      <c r="D156"/>
      <c r="F156"/>
    </row>
    <row r="157" spans="4:6" x14ac:dyDescent="0.3">
      <c r="D157"/>
      <c r="F157"/>
    </row>
    <row r="158" spans="4:6" x14ac:dyDescent="0.3">
      <c r="D158"/>
      <c r="F158"/>
    </row>
    <row r="159" spans="4:6" x14ac:dyDescent="0.3">
      <c r="D159"/>
      <c r="F159"/>
    </row>
    <row r="160" spans="4:6" x14ac:dyDescent="0.3">
      <c r="D160"/>
      <c r="F160"/>
    </row>
    <row r="161" spans="4:6" x14ac:dyDescent="0.3">
      <c r="D161"/>
      <c r="F161"/>
    </row>
    <row r="162" spans="4:6" x14ac:dyDescent="0.3">
      <c r="D162"/>
      <c r="F162"/>
    </row>
    <row r="163" spans="4:6" x14ac:dyDescent="0.3">
      <c r="D163"/>
      <c r="F163"/>
    </row>
    <row r="164" spans="4:6" x14ac:dyDescent="0.3">
      <c r="D164"/>
      <c r="F164"/>
    </row>
    <row r="165" spans="4:6" x14ac:dyDescent="0.3">
      <c r="D165"/>
      <c r="F165"/>
    </row>
    <row r="166" spans="4:6" x14ac:dyDescent="0.3">
      <c r="D166"/>
      <c r="F166"/>
    </row>
    <row r="167" spans="4:6" x14ac:dyDescent="0.3">
      <c r="D167"/>
      <c r="F167"/>
    </row>
    <row r="168" spans="4:6" x14ac:dyDescent="0.3">
      <c r="D168"/>
      <c r="F168"/>
    </row>
    <row r="169" spans="4:6" x14ac:dyDescent="0.3">
      <c r="D169"/>
      <c r="F169"/>
    </row>
    <row r="170" spans="4:6" x14ac:dyDescent="0.3">
      <c r="D170"/>
      <c r="F170"/>
    </row>
    <row r="171" spans="4:6" x14ac:dyDescent="0.3">
      <c r="D171"/>
      <c r="F171"/>
    </row>
    <row r="172" spans="4:6" x14ac:dyDescent="0.3">
      <c r="D172"/>
      <c r="F172"/>
    </row>
    <row r="173" spans="4:6" x14ac:dyDescent="0.3">
      <c r="D173"/>
      <c r="F173"/>
    </row>
    <row r="174" spans="4:6" x14ac:dyDescent="0.3">
      <c r="D174"/>
      <c r="F174"/>
    </row>
    <row r="175" spans="4:6" x14ac:dyDescent="0.3">
      <c r="D175"/>
      <c r="F175"/>
    </row>
    <row r="176" spans="4:6" x14ac:dyDescent="0.3">
      <c r="D176"/>
      <c r="F176"/>
    </row>
    <row r="177" spans="4:6" x14ac:dyDescent="0.3">
      <c r="D177"/>
      <c r="F177"/>
    </row>
    <row r="178" spans="4:6" x14ac:dyDescent="0.3">
      <c r="D178"/>
      <c r="F178"/>
    </row>
    <row r="179" spans="4:6" x14ac:dyDescent="0.3">
      <c r="D179"/>
      <c r="F179"/>
    </row>
    <row r="180" spans="4:6" x14ac:dyDescent="0.3">
      <c r="D180"/>
      <c r="F180"/>
    </row>
    <row r="181" spans="4:6" x14ac:dyDescent="0.3">
      <c r="D181"/>
      <c r="F181"/>
    </row>
    <row r="182" spans="4:6" x14ac:dyDescent="0.3">
      <c r="D182"/>
      <c r="F182"/>
    </row>
    <row r="183" spans="4:6" x14ac:dyDescent="0.3">
      <c r="D183"/>
      <c r="F183"/>
    </row>
    <row r="184" spans="4:6" x14ac:dyDescent="0.3">
      <c r="D184"/>
      <c r="F184"/>
    </row>
    <row r="185" spans="4:6" x14ac:dyDescent="0.3">
      <c r="D185"/>
      <c r="F185"/>
    </row>
    <row r="186" spans="4:6" x14ac:dyDescent="0.3">
      <c r="D186"/>
      <c r="F186"/>
    </row>
    <row r="187" spans="4:6" x14ac:dyDescent="0.3">
      <c r="D187"/>
      <c r="F187"/>
    </row>
    <row r="188" spans="4:6" x14ac:dyDescent="0.3">
      <c r="D188"/>
      <c r="F188"/>
    </row>
    <row r="189" spans="4:6" x14ac:dyDescent="0.3">
      <c r="D189"/>
      <c r="F189"/>
    </row>
    <row r="190" spans="4:6" x14ac:dyDescent="0.3">
      <c r="D190"/>
      <c r="F190"/>
    </row>
    <row r="191" spans="4:6" x14ac:dyDescent="0.3">
      <c r="D191"/>
      <c r="F191"/>
    </row>
    <row r="192" spans="4:6" x14ac:dyDescent="0.3">
      <c r="D192"/>
      <c r="F192"/>
    </row>
    <row r="193" spans="4:6" x14ac:dyDescent="0.3">
      <c r="D193"/>
      <c r="F193"/>
    </row>
    <row r="194" spans="4:6" x14ac:dyDescent="0.3">
      <c r="D194"/>
      <c r="F194"/>
    </row>
    <row r="195" spans="4:6" x14ac:dyDescent="0.3">
      <c r="D195"/>
      <c r="F195"/>
    </row>
    <row r="196" spans="4:6" x14ac:dyDescent="0.3">
      <c r="D196"/>
      <c r="F196"/>
    </row>
    <row r="197" spans="4:6" x14ac:dyDescent="0.3">
      <c r="D197"/>
      <c r="F197"/>
    </row>
    <row r="198" spans="4:6" x14ac:dyDescent="0.3">
      <c r="D198"/>
      <c r="F198"/>
    </row>
    <row r="199" spans="4:6" x14ac:dyDescent="0.3">
      <c r="D199"/>
      <c r="F199"/>
    </row>
    <row r="200" spans="4:6" x14ac:dyDescent="0.3">
      <c r="D200"/>
      <c r="F200"/>
    </row>
    <row r="201" spans="4:6" x14ac:dyDescent="0.3">
      <c r="D201"/>
      <c r="F201"/>
    </row>
    <row r="202" spans="4:6" x14ac:dyDescent="0.3">
      <c r="D202"/>
      <c r="F202"/>
    </row>
    <row r="203" spans="4:6" x14ac:dyDescent="0.3">
      <c r="D203"/>
      <c r="F203"/>
    </row>
    <row r="204" spans="4:6" x14ac:dyDescent="0.3">
      <c r="D204"/>
      <c r="F204"/>
    </row>
    <row r="205" spans="4:6" x14ac:dyDescent="0.3">
      <c r="D205"/>
      <c r="F205"/>
    </row>
    <row r="206" spans="4:6" x14ac:dyDescent="0.3">
      <c r="D206"/>
      <c r="F206"/>
    </row>
    <row r="207" spans="4:6" x14ac:dyDescent="0.3">
      <c r="D207"/>
      <c r="F207"/>
    </row>
    <row r="208" spans="4:6" x14ac:dyDescent="0.3">
      <c r="D208"/>
      <c r="F208"/>
    </row>
    <row r="209" spans="4:6" x14ac:dyDescent="0.3">
      <c r="D209"/>
      <c r="F209"/>
    </row>
    <row r="210" spans="4:6" x14ac:dyDescent="0.3">
      <c r="D210"/>
      <c r="F210"/>
    </row>
    <row r="211" spans="4:6" x14ac:dyDescent="0.3">
      <c r="D211"/>
      <c r="F211"/>
    </row>
    <row r="212" spans="4:6" x14ac:dyDescent="0.3">
      <c r="D212"/>
      <c r="F212"/>
    </row>
    <row r="213" spans="4:6" x14ac:dyDescent="0.3">
      <c r="D213"/>
      <c r="F213"/>
    </row>
    <row r="214" spans="4:6" x14ac:dyDescent="0.3">
      <c r="D214"/>
      <c r="F214"/>
    </row>
    <row r="215" spans="4:6" x14ac:dyDescent="0.3">
      <c r="D215"/>
      <c r="F215"/>
    </row>
    <row r="216" spans="4:6" x14ac:dyDescent="0.3">
      <c r="D216"/>
      <c r="F216"/>
    </row>
    <row r="217" spans="4:6" x14ac:dyDescent="0.3">
      <c r="D217"/>
      <c r="F217"/>
    </row>
    <row r="218" spans="4:6" x14ac:dyDescent="0.3">
      <c r="D218"/>
      <c r="F218"/>
    </row>
    <row r="219" spans="4:6" x14ac:dyDescent="0.3">
      <c r="D219"/>
      <c r="F219"/>
    </row>
    <row r="220" spans="4:6" x14ac:dyDescent="0.3">
      <c r="D220"/>
      <c r="F220"/>
    </row>
    <row r="221" spans="4:6" x14ac:dyDescent="0.3">
      <c r="D221"/>
      <c r="F221"/>
    </row>
    <row r="222" spans="4:6" x14ac:dyDescent="0.3">
      <c r="D222"/>
      <c r="F222"/>
    </row>
    <row r="223" spans="4:6" x14ac:dyDescent="0.3">
      <c r="D223"/>
      <c r="F223"/>
    </row>
    <row r="224" spans="4:6" x14ac:dyDescent="0.3">
      <c r="D224"/>
      <c r="F224"/>
    </row>
    <row r="225" spans="4:6" x14ac:dyDescent="0.3">
      <c r="D225"/>
      <c r="F225"/>
    </row>
    <row r="226" spans="4:6" x14ac:dyDescent="0.3">
      <c r="D226"/>
      <c r="F226"/>
    </row>
    <row r="227" spans="4:6" x14ac:dyDescent="0.3">
      <c r="D227"/>
      <c r="F227"/>
    </row>
    <row r="228" spans="4:6" x14ac:dyDescent="0.3">
      <c r="D228"/>
      <c r="F228"/>
    </row>
    <row r="229" spans="4:6" x14ac:dyDescent="0.3">
      <c r="D229"/>
      <c r="F229"/>
    </row>
    <row r="230" spans="4:6" x14ac:dyDescent="0.3">
      <c r="D230"/>
      <c r="F230"/>
    </row>
    <row r="231" spans="4:6" x14ac:dyDescent="0.3">
      <c r="D231"/>
      <c r="F231"/>
    </row>
    <row r="232" spans="4:6" x14ac:dyDescent="0.3">
      <c r="D232"/>
      <c r="F232"/>
    </row>
    <row r="233" spans="4:6" x14ac:dyDescent="0.3">
      <c r="D233"/>
      <c r="F233"/>
    </row>
    <row r="234" spans="4:6" x14ac:dyDescent="0.3">
      <c r="D234"/>
      <c r="F234"/>
    </row>
    <row r="235" spans="4:6" x14ac:dyDescent="0.3">
      <c r="D235"/>
      <c r="F235"/>
    </row>
    <row r="236" spans="4:6" x14ac:dyDescent="0.3">
      <c r="D236"/>
      <c r="F236"/>
    </row>
    <row r="237" spans="4:6" x14ac:dyDescent="0.3">
      <c r="D237"/>
      <c r="F237"/>
    </row>
    <row r="238" spans="4:6" x14ac:dyDescent="0.3">
      <c r="D238"/>
      <c r="F238"/>
    </row>
    <row r="239" spans="4:6" x14ac:dyDescent="0.3">
      <c r="D239"/>
      <c r="F239"/>
    </row>
    <row r="240" spans="4:6" x14ac:dyDescent="0.3">
      <c r="D240"/>
      <c r="F240"/>
    </row>
    <row r="241" spans="4:6" x14ac:dyDescent="0.3">
      <c r="D241"/>
      <c r="F241"/>
    </row>
    <row r="242" spans="4:6" x14ac:dyDescent="0.3">
      <c r="D242"/>
      <c r="F242"/>
    </row>
    <row r="243" spans="4:6" x14ac:dyDescent="0.3">
      <c r="D243"/>
      <c r="F243"/>
    </row>
    <row r="244" spans="4:6" x14ac:dyDescent="0.3">
      <c r="D244"/>
      <c r="F244"/>
    </row>
    <row r="245" spans="4:6" x14ac:dyDescent="0.3">
      <c r="D245"/>
      <c r="F245"/>
    </row>
    <row r="246" spans="4:6" x14ac:dyDescent="0.3">
      <c r="D246"/>
      <c r="F246"/>
    </row>
    <row r="247" spans="4:6" x14ac:dyDescent="0.3">
      <c r="D247"/>
      <c r="F247"/>
    </row>
    <row r="248" spans="4:6" x14ac:dyDescent="0.3">
      <c r="D248"/>
      <c r="F248"/>
    </row>
    <row r="249" spans="4:6" x14ac:dyDescent="0.3">
      <c r="D249"/>
      <c r="F249"/>
    </row>
    <row r="250" spans="4:6" x14ac:dyDescent="0.3">
      <c r="D250"/>
      <c r="F250"/>
    </row>
    <row r="251" spans="4:6" x14ac:dyDescent="0.3">
      <c r="D251"/>
      <c r="F251"/>
    </row>
    <row r="252" spans="4:6" x14ac:dyDescent="0.3">
      <c r="D252"/>
      <c r="F252"/>
    </row>
    <row r="253" spans="4:6" x14ac:dyDescent="0.3">
      <c r="D253"/>
      <c r="F253"/>
    </row>
    <row r="254" spans="4:6" x14ac:dyDescent="0.3">
      <c r="D254"/>
      <c r="F254"/>
    </row>
    <row r="255" spans="4:6" x14ac:dyDescent="0.3">
      <c r="D255"/>
      <c r="F255"/>
    </row>
    <row r="256" spans="4:6" x14ac:dyDescent="0.3">
      <c r="D256"/>
      <c r="F256"/>
    </row>
    <row r="257" spans="4:6" x14ac:dyDescent="0.3">
      <c r="D257"/>
      <c r="F257"/>
    </row>
    <row r="258" spans="4:6" x14ac:dyDescent="0.3">
      <c r="D258"/>
      <c r="F258"/>
    </row>
    <row r="259" spans="4:6" x14ac:dyDescent="0.3">
      <c r="D259"/>
      <c r="F259"/>
    </row>
    <row r="260" spans="4:6" x14ac:dyDescent="0.3">
      <c r="D260"/>
      <c r="F260"/>
    </row>
    <row r="261" spans="4:6" x14ac:dyDescent="0.3">
      <c r="D261"/>
      <c r="F261"/>
    </row>
    <row r="262" spans="4:6" x14ac:dyDescent="0.3">
      <c r="D262"/>
      <c r="F262"/>
    </row>
    <row r="263" spans="4:6" x14ac:dyDescent="0.3">
      <c r="D263"/>
      <c r="F263"/>
    </row>
    <row r="264" spans="4:6" x14ac:dyDescent="0.3">
      <c r="D264"/>
      <c r="F264"/>
    </row>
    <row r="265" spans="4:6" x14ac:dyDescent="0.3">
      <c r="D265"/>
      <c r="F265"/>
    </row>
    <row r="266" spans="4:6" x14ac:dyDescent="0.3">
      <c r="D266"/>
      <c r="F266"/>
    </row>
    <row r="267" spans="4:6" x14ac:dyDescent="0.3">
      <c r="D267"/>
      <c r="F267"/>
    </row>
    <row r="268" spans="4:6" x14ac:dyDescent="0.3">
      <c r="D268"/>
      <c r="F268"/>
    </row>
    <row r="269" spans="4:6" x14ac:dyDescent="0.3">
      <c r="D269"/>
      <c r="F269"/>
    </row>
    <row r="270" spans="4:6" x14ac:dyDescent="0.3">
      <c r="D270"/>
      <c r="F270"/>
    </row>
    <row r="271" spans="4:6" x14ac:dyDescent="0.3">
      <c r="D271"/>
      <c r="F271"/>
    </row>
    <row r="272" spans="4:6" x14ac:dyDescent="0.3">
      <c r="D272"/>
      <c r="F272"/>
    </row>
    <row r="273" spans="4:6" x14ac:dyDescent="0.3">
      <c r="D273"/>
      <c r="F273"/>
    </row>
    <row r="274" spans="4:6" x14ac:dyDescent="0.3">
      <c r="D274"/>
      <c r="F274"/>
    </row>
    <row r="275" spans="4:6" x14ac:dyDescent="0.3">
      <c r="D275"/>
      <c r="F275"/>
    </row>
    <row r="276" spans="4:6" x14ac:dyDescent="0.3">
      <c r="D276"/>
      <c r="F276"/>
    </row>
    <row r="277" spans="4:6" x14ac:dyDescent="0.3">
      <c r="D277"/>
      <c r="F277"/>
    </row>
    <row r="278" spans="4:6" x14ac:dyDescent="0.3">
      <c r="D278"/>
      <c r="F278"/>
    </row>
    <row r="279" spans="4:6" x14ac:dyDescent="0.3">
      <c r="D279"/>
      <c r="F279"/>
    </row>
    <row r="280" spans="4:6" x14ac:dyDescent="0.3">
      <c r="D280"/>
      <c r="F280"/>
    </row>
    <row r="281" spans="4:6" x14ac:dyDescent="0.3">
      <c r="D281"/>
      <c r="F281"/>
    </row>
    <row r="282" spans="4:6" x14ac:dyDescent="0.3">
      <c r="D282"/>
      <c r="F282"/>
    </row>
    <row r="283" spans="4:6" x14ac:dyDescent="0.3">
      <c r="D283"/>
      <c r="F283"/>
    </row>
    <row r="284" spans="4:6" x14ac:dyDescent="0.3">
      <c r="D284"/>
      <c r="F284"/>
    </row>
    <row r="285" spans="4:6" x14ac:dyDescent="0.3">
      <c r="D285"/>
      <c r="F285"/>
    </row>
    <row r="286" spans="4:6" x14ac:dyDescent="0.3">
      <c r="D286"/>
      <c r="F286"/>
    </row>
    <row r="287" spans="4:6" x14ac:dyDescent="0.3">
      <c r="D287"/>
      <c r="F287"/>
    </row>
    <row r="288" spans="4:6" x14ac:dyDescent="0.3">
      <c r="D288"/>
      <c r="F288"/>
    </row>
    <row r="289" spans="4:6" x14ac:dyDescent="0.3">
      <c r="D289"/>
      <c r="F289"/>
    </row>
    <row r="290" spans="4:6" x14ac:dyDescent="0.3">
      <c r="D290"/>
      <c r="F290"/>
    </row>
    <row r="291" spans="4:6" x14ac:dyDescent="0.3">
      <c r="D291"/>
      <c r="F291"/>
    </row>
    <row r="292" spans="4:6" x14ac:dyDescent="0.3">
      <c r="D292"/>
      <c r="F292"/>
    </row>
    <row r="293" spans="4:6" x14ac:dyDescent="0.3">
      <c r="D293"/>
      <c r="F293"/>
    </row>
    <row r="294" spans="4:6" x14ac:dyDescent="0.3">
      <c r="D294"/>
      <c r="F294"/>
    </row>
    <row r="295" spans="4:6" x14ac:dyDescent="0.3">
      <c r="D295"/>
      <c r="F295"/>
    </row>
    <row r="296" spans="4:6" x14ac:dyDescent="0.3">
      <c r="D296"/>
      <c r="F296"/>
    </row>
    <row r="297" spans="4:6" x14ac:dyDescent="0.3">
      <c r="D297"/>
      <c r="F297"/>
    </row>
    <row r="298" spans="4:6" x14ac:dyDescent="0.3">
      <c r="D298"/>
      <c r="F298"/>
    </row>
    <row r="299" spans="4:6" x14ac:dyDescent="0.3">
      <c r="D299"/>
      <c r="F299"/>
    </row>
    <row r="300" spans="4:6" x14ac:dyDescent="0.3">
      <c r="D300"/>
      <c r="F300"/>
    </row>
    <row r="301" spans="4:6" x14ac:dyDescent="0.3">
      <c r="D301"/>
      <c r="F301"/>
    </row>
    <row r="302" spans="4:6" x14ac:dyDescent="0.3">
      <c r="D302"/>
      <c r="F302"/>
    </row>
    <row r="303" spans="4:6" x14ac:dyDescent="0.3">
      <c r="D303"/>
      <c r="F303"/>
    </row>
    <row r="304" spans="4:6" x14ac:dyDescent="0.3">
      <c r="D304"/>
      <c r="F304"/>
    </row>
    <row r="305" spans="4:6" x14ac:dyDescent="0.3">
      <c r="D305"/>
      <c r="F305"/>
    </row>
    <row r="306" spans="4:6" x14ac:dyDescent="0.3">
      <c r="D306"/>
      <c r="F306"/>
    </row>
    <row r="307" spans="4:6" x14ac:dyDescent="0.3">
      <c r="D307"/>
      <c r="F307"/>
    </row>
    <row r="308" spans="4:6" x14ac:dyDescent="0.3">
      <c r="D308"/>
      <c r="F308"/>
    </row>
    <row r="309" spans="4:6" x14ac:dyDescent="0.3">
      <c r="D309"/>
      <c r="F309"/>
    </row>
    <row r="310" spans="4:6" x14ac:dyDescent="0.3">
      <c r="D310"/>
      <c r="F310"/>
    </row>
    <row r="311" spans="4:6" x14ac:dyDescent="0.3">
      <c r="D311"/>
      <c r="F311"/>
    </row>
    <row r="312" spans="4:6" x14ac:dyDescent="0.3">
      <c r="D312"/>
      <c r="F312"/>
    </row>
    <row r="313" spans="4:6" x14ac:dyDescent="0.3">
      <c r="D313"/>
      <c r="F313"/>
    </row>
    <row r="314" spans="4:6" x14ac:dyDescent="0.3">
      <c r="D314"/>
      <c r="F314"/>
    </row>
    <row r="315" spans="4:6" x14ac:dyDescent="0.3">
      <c r="D315"/>
      <c r="F315"/>
    </row>
    <row r="316" spans="4:6" x14ac:dyDescent="0.3">
      <c r="D316"/>
      <c r="F316"/>
    </row>
    <row r="317" spans="4:6" x14ac:dyDescent="0.3">
      <c r="D317"/>
      <c r="F317"/>
    </row>
    <row r="318" spans="4:6" x14ac:dyDescent="0.3">
      <c r="D318"/>
      <c r="F318"/>
    </row>
    <row r="319" spans="4:6" x14ac:dyDescent="0.3">
      <c r="D319"/>
      <c r="F319"/>
    </row>
    <row r="320" spans="4:6" x14ac:dyDescent="0.3">
      <c r="D320"/>
      <c r="F320"/>
    </row>
    <row r="321" spans="4:6" x14ac:dyDescent="0.3">
      <c r="D321"/>
      <c r="F321"/>
    </row>
    <row r="322" spans="4:6" x14ac:dyDescent="0.3">
      <c r="D322"/>
      <c r="F322"/>
    </row>
    <row r="323" spans="4:6" x14ac:dyDescent="0.3">
      <c r="D323"/>
      <c r="F323"/>
    </row>
    <row r="324" spans="4:6" x14ac:dyDescent="0.3">
      <c r="D324"/>
      <c r="F324"/>
    </row>
    <row r="325" spans="4:6" x14ac:dyDescent="0.3">
      <c r="D325"/>
      <c r="F325"/>
    </row>
    <row r="326" spans="4:6" x14ac:dyDescent="0.3">
      <c r="D326"/>
      <c r="F326"/>
    </row>
    <row r="327" spans="4:6" x14ac:dyDescent="0.3">
      <c r="D327"/>
      <c r="F327"/>
    </row>
    <row r="328" spans="4:6" x14ac:dyDescent="0.3">
      <c r="D328"/>
      <c r="F328"/>
    </row>
    <row r="329" spans="4:6" x14ac:dyDescent="0.3">
      <c r="D329"/>
      <c r="F329"/>
    </row>
    <row r="330" spans="4:6" x14ac:dyDescent="0.3">
      <c r="D330"/>
      <c r="F330"/>
    </row>
    <row r="331" spans="4:6" x14ac:dyDescent="0.3">
      <c r="D331"/>
      <c r="F331"/>
    </row>
    <row r="332" spans="4:6" x14ac:dyDescent="0.3">
      <c r="D332"/>
      <c r="F332"/>
    </row>
    <row r="333" spans="4:6" x14ac:dyDescent="0.3">
      <c r="D333"/>
      <c r="F333"/>
    </row>
    <row r="334" spans="4:6" x14ac:dyDescent="0.3">
      <c r="D334"/>
      <c r="F334"/>
    </row>
    <row r="335" spans="4:6" x14ac:dyDescent="0.3">
      <c r="D335"/>
      <c r="F335"/>
    </row>
    <row r="336" spans="4:6" x14ac:dyDescent="0.3">
      <c r="D336"/>
      <c r="F336"/>
    </row>
    <row r="337" spans="4:6" x14ac:dyDescent="0.3">
      <c r="D337"/>
      <c r="F337"/>
    </row>
    <row r="338" spans="4:6" x14ac:dyDescent="0.3">
      <c r="D338"/>
      <c r="F338"/>
    </row>
    <row r="339" spans="4:6" x14ac:dyDescent="0.3">
      <c r="D339"/>
      <c r="F339"/>
    </row>
    <row r="340" spans="4:6" x14ac:dyDescent="0.3">
      <c r="D340"/>
      <c r="F340"/>
    </row>
    <row r="341" spans="4:6" x14ac:dyDescent="0.3">
      <c r="D341"/>
      <c r="F341"/>
    </row>
    <row r="342" spans="4:6" x14ac:dyDescent="0.3">
      <c r="D342"/>
      <c r="F342"/>
    </row>
    <row r="343" spans="4:6" x14ac:dyDescent="0.3">
      <c r="D343"/>
      <c r="F343"/>
    </row>
    <row r="344" spans="4:6" x14ac:dyDescent="0.3">
      <c r="D344"/>
      <c r="F344"/>
    </row>
    <row r="345" spans="4:6" x14ac:dyDescent="0.3">
      <c r="D345"/>
      <c r="F345"/>
    </row>
    <row r="346" spans="4:6" x14ac:dyDescent="0.3">
      <c r="D346"/>
      <c r="F346"/>
    </row>
    <row r="347" spans="4:6" x14ac:dyDescent="0.3">
      <c r="D347"/>
      <c r="F347"/>
    </row>
    <row r="348" spans="4:6" x14ac:dyDescent="0.3">
      <c r="D348"/>
      <c r="F348"/>
    </row>
    <row r="349" spans="4:6" x14ac:dyDescent="0.3">
      <c r="D349"/>
      <c r="F349"/>
    </row>
    <row r="350" spans="4:6" x14ac:dyDescent="0.3">
      <c r="D350"/>
      <c r="F350"/>
    </row>
    <row r="351" spans="4:6" x14ac:dyDescent="0.3">
      <c r="D351"/>
      <c r="F351"/>
    </row>
    <row r="352" spans="4:6" x14ac:dyDescent="0.3">
      <c r="D352"/>
      <c r="F352"/>
    </row>
    <row r="353" spans="1:6" x14ac:dyDescent="0.3">
      <c r="D353"/>
      <c r="F353"/>
    </row>
    <row r="354" spans="1:6" x14ac:dyDescent="0.3">
      <c r="D354"/>
      <c r="F354"/>
    </row>
    <row r="355" spans="1:6" x14ac:dyDescent="0.3">
      <c r="D355"/>
      <c r="F355"/>
    </row>
    <row r="356" spans="1:6" x14ac:dyDescent="0.3">
      <c r="D356"/>
      <c r="F356"/>
    </row>
    <row r="357" spans="1:6" x14ac:dyDescent="0.3">
      <c r="D357"/>
      <c r="F357"/>
    </row>
    <row r="358" spans="1:6" x14ac:dyDescent="0.3">
      <c r="D358"/>
      <c r="F358"/>
    </row>
    <row r="359" spans="1:6" x14ac:dyDescent="0.3">
      <c r="D359"/>
      <c r="F359"/>
    </row>
    <row r="360" spans="1:6" x14ac:dyDescent="0.3">
      <c r="D360"/>
      <c r="F360"/>
    </row>
    <row r="361" spans="1:6" x14ac:dyDescent="0.3">
      <c r="D361"/>
      <c r="F361"/>
    </row>
    <row r="363" spans="1:6" ht="28" customHeight="1" x14ac:dyDescent="0.3">
      <c r="B363" s="2" t="s">
        <v>127</v>
      </c>
      <c r="C363" s="2"/>
      <c r="D363" s="9"/>
      <c r="E363" s="2"/>
      <c r="F363" s="9"/>
    </row>
    <row r="364" spans="1:6" ht="28" customHeight="1" x14ac:dyDescent="0.3">
      <c r="A364">
        <v>1</v>
      </c>
      <c r="B364" s="1" t="s">
        <v>128</v>
      </c>
      <c r="C364" s="13" t="s">
        <v>7</v>
      </c>
      <c r="D364" s="8" t="s">
        <v>7</v>
      </c>
      <c r="E364" s="1" t="s">
        <v>129</v>
      </c>
      <c r="F364" s="8" t="s">
        <v>77</v>
      </c>
    </row>
    <row r="365" spans="1:6" ht="28" customHeight="1" x14ac:dyDescent="0.3">
      <c r="A365">
        <v>2</v>
      </c>
      <c r="B365" s="1" t="s">
        <v>130</v>
      </c>
      <c r="C365" s="13" t="s">
        <v>7</v>
      </c>
      <c r="D365" s="8" t="s">
        <v>7</v>
      </c>
      <c r="E365" s="1" t="s">
        <v>131</v>
      </c>
      <c r="F365" s="8" t="s">
        <v>77</v>
      </c>
    </row>
    <row r="366" spans="1:6" ht="28" customHeight="1" x14ac:dyDescent="0.3">
      <c r="A366">
        <v>3</v>
      </c>
      <c r="B366" s="1" t="s">
        <v>132</v>
      </c>
      <c r="C366" s="13" t="s">
        <v>7</v>
      </c>
      <c r="D366" s="8" t="s">
        <v>7</v>
      </c>
      <c r="E366" s="1" t="s">
        <v>133</v>
      </c>
      <c r="F366" s="8" t="s">
        <v>77</v>
      </c>
    </row>
    <row r="367" spans="1:6" ht="28" customHeight="1" x14ac:dyDescent="0.3">
      <c r="A367">
        <v>4</v>
      </c>
      <c r="B367" s="1" t="s">
        <v>134</v>
      </c>
      <c r="C367" s="13" t="s">
        <v>7</v>
      </c>
      <c r="D367" s="8" t="s">
        <v>7</v>
      </c>
      <c r="E367" s="1" t="s">
        <v>135</v>
      </c>
      <c r="F367" s="8" t="s">
        <v>77</v>
      </c>
    </row>
    <row r="368" spans="1:6" ht="28" customHeight="1" x14ac:dyDescent="0.3">
      <c r="A368">
        <v>5</v>
      </c>
      <c r="B368" s="1" t="s">
        <v>136</v>
      </c>
      <c r="C368" s="13" t="s">
        <v>7</v>
      </c>
      <c r="D368" s="8" t="s">
        <v>7</v>
      </c>
      <c r="E368" s="1" t="s">
        <v>137</v>
      </c>
      <c r="F368" s="8" t="s">
        <v>77</v>
      </c>
    </row>
    <row r="369" spans="1:6" ht="28" customHeight="1" x14ac:dyDescent="0.3">
      <c r="A369">
        <v>6</v>
      </c>
      <c r="B369" s="1" t="s">
        <v>138</v>
      </c>
      <c r="C369" s="13" t="s">
        <v>7</v>
      </c>
      <c r="D369" s="8" t="s">
        <v>7</v>
      </c>
      <c r="E369" s="1" t="s">
        <v>139</v>
      </c>
      <c r="F369" s="8" t="s">
        <v>77</v>
      </c>
    </row>
    <row r="370" spans="1:6" ht="28" customHeight="1" x14ac:dyDescent="0.3">
      <c r="A370">
        <v>7</v>
      </c>
      <c r="B370" s="1" t="s">
        <v>140</v>
      </c>
      <c r="C370" s="13" t="s">
        <v>7</v>
      </c>
      <c r="D370" s="8" t="s">
        <v>7</v>
      </c>
      <c r="E370" s="1" t="s">
        <v>141</v>
      </c>
      <c r="F370" s="8" t="s">
        <v>77</v>
      </c>
    </row>
    <row r="371" spans="1:6" ht="28" customHeight="1" x14ac:dyDescent="0.3">
      <c r="A371">
        <v>8</v>
      </c>
      <c r="B371" s="1" t="s">
        <v>142</v>
      </c>
      <c r="C371" s="13" t="s">
        <v>7</v>
      </c>
      <c r="D371" s="8" t="s">
        <v>7</v>
      </c>
      <c r="E371" s="1" t="s">
        <v>143</v>
      </c>
      <c r="F371" s="8" t="s">
        <v>77</v>
      </c>
    </row>
    <row r="372" spans="1:6" ht="27" customHeight="1" x14ac:dyDescent="0.3">
      <c r="A372">
        <v>9</v>
      </c>
      <c r="B372" s="1" t="s">
        <v>144</v>
      </c>
      <c r="C372" s="13" t="s">
        <v>7</v>
      </c>
      <c r="D372" s="8" t="s">
        <v>7</v>
      </c>
      <c r="E372" s="1" t="s">
        <v>145</v>
      </c>
      <c r="F372" s="8" t="s">
        <v>7</v>
      </c>
    </row>
    <row r="373" spans="1:6" ht="28" customHeight="1" x14ac:dyDescent="0.3">
      <c r="A373">
        <v>10</v>
      </c>
      <c r="B373" s="1" t="s">
        <v>146</v>
      </c>
      <c r="C373" s="13" t="s">
        <v>7</v>
      </c>
      <c r="D373" s="8" t="s">
        <v>7</v>
      </c>
      <c r="E373" s="1" t="s">
        <v>147</v>
      </c>
      <c r="F373" s="8" t="s">
        <v>77</v>
      </c>
    </row>
    <row r="374" spans="1:6" ht="28" customHeight="1" x14ac:dyDescent="0.3">
      <c r="A374">
        <v>11</v>
      </c>
      <c r="B374" s="1" t="s">
        <v>148</v>
      </c>
      <c r="C374" s="13" t="s">
        <v>7</v>
      </c>
      <c r="D374" s="8" t="s">
        <v>7</v>
      </c>
      <c r="E374" s="1" t="s">
        <v>149</v>
      </c>
      <c r="F374" s="8" t="s">
        <v>7</v>
      </c>
    </row>
    <row r="375" spans="1:6" ht="28" customHeight="1" x14ac:dyDescent="0.3">
      <c r="A375">
        <v>12</v>
      </c>
      <c r="B375" s="1" t="s">
        <v>150</v>
      </c>
      <c r="C375" s="13" t="s">
        <v>7</v>
      </c>
      <c r="D375" s="8" t="s">
        <v>7</v>
      </c>
      <c r="E375" s="1" t="s">
        <v>151</v>
      </c>
      <c r="F375" s="8" t="s">
        <v>77</v>
      </c>
    </row>
    <row r="376" spans="1:6" ht="28" customHeight="1" x14ac:dyDescent="0.3">
      <c r="A376">
        <v>13</v>
      </c>
      <c r="B376" s="1" t="s">
        <v>11</v>
      </c>
      <c r="C376" s="13" t="s">
        <v>7</v>
      </c>
      <c r="D376" s="8" t="s">
        <v>7</v>
      </c>
      <c r="E376" s="1" t="s">
        <v>152</v>
      </c>
      <c r="F376" s="8" t="s">
        <v>77</v>
      </c>
    </row>
    <row r="377" spans="1:6" ht="28" customHeight="1" x14ac:dyDescent="0.3">
      <c r="A377">
        <v>14</v>
      </c>
      <c r="B377" s="1" t="s">
        <v>138</v>
      </c>
      <c r="C377" s="13" t="s">
        <v>7</v>
      </c>
      <c r="D377" s="8" t="s">
        <v>7</v>
      </c>
      <c r="E377" s="1" t="s">
        <v>153</v>
      </c>
      <c r="F377" s="8" t="s">
        <v>77</v>
      </c>
    </row>
    <row r="378" spans="1:6" ht="28" customHeight="1" x14ac:dyDescent="0.3">
      <c r="A378">
        <v>15</v>
      </c>
      <c r="B378" s="1" t="s">
        <v>154</v>
      </c>
      <c r="C378" s="13" t="s">
        <v>7</v>
      </c>
      <c r="D378" s="8" t="s">
        <v>7</v>
      </c>
      <c r="E378" s="1" t="s">
        <v>155</v>
      </c>
      <c r="F378" s="8" t="s">
        <v>77</v>
      </c>
    </row>
    <row r="379" spans="1:6" ht="28" customHeight="1" x14ac:dyDescent="0.3">
      <c r="A379">
        <v>16</v>
      </c>
      <c r="B379" s="1" t="s">
        <v>73</v>
      </c>
      <c r="C379" s="13" t="s">
        <v>7</v>
      </c>
      <c r="D379" s="8" t="s">
        <v>7</v>
      </c>
      <c r="E379" s="1" t="s">
        <v>156</v>
      </c>
      <c r="F379" s="8" t="s">
        <v>77</v>
      </c>
    </row>
    <row r="380" spans="1:6" ht="28" customHeight="1" x14ac:dyDescent="0.3">
      <c r="A380">
        <v>17</v>
      </c>
      <c r="B380" s="1" t="s">
        <v>25</v>
      </c>
      <c r="C380" s="13" t="s">
        <v>7</v>
      </c>
      <c r="D380" s="8" t="s">
        <v>7</v>
      </c>
      <c r="E380" s="1" t="s">
        <v>157</v>
      </c>
      <c r="F380" s="8" t="s">
        <v>77</v>
      </c>
    </row>
    <row r="381" spans="1:6" ht="28" customHeight="1" x14ac:dyDescent="0.3">
      <c r="A381">
        <v>18</v>
      </c>
      <c r="B381" s="1" t="s">
        <v>78</v>
      </c>
      <c r="C381" s="13" t="s">
        <v>7</v>
      </c>
      <c r="D381" s="8" t="s">
        <v>7</v>
      </c>
      <c r="E381" s="1" t="s">
        <v>158</v>
      </c>
      <c r="F381" s="8" t="s">
        <v>77</v>
      </c>
    </row>
    <row r="382" spans="1:6" ht="28" customHeight="1" x14ac:dyDescent="0.3">
      <c r="A382">
        <v>19</v>
      </c>
      <c r="B382" s="1" t="s">
        <v>75</v>
      </c>
      <c r="C382" s="13" t="s">
        <v>7</v>
      </c>
      <c r="D382" s="8" t="s">
        <v>7</v>
      </c>
      <c r="E382" s="1" t="s">
        <v>159</v>
      </c>
      <c r="F382" s="8" t="s">
        <v>77</v>
      </c>
    </row>
    <row r="383" spans="1:6" ht="28" customHeight="1" x14ac:dyDescent="0.3">
      <c r="A383">
        <v>20</v>
      </c>
      <c r="B383" s="1" t="s">
        <v>11</v>
      </c>
      <c r="C383" s="13" t="s">
        <v>7</v>
      </c>
      <c r="D383" s="8" t="s">
        <v>7</v>
      </c>
      <c r="E383" s="1" t="s">
        <v>160</v>
      </c>
      <c r="F383" s="8" t="s">
        <v>77</v>
      </c>
    </row>
    <row r="384" spans="1:6" ht="28" customHeight="1" x14ac:dyDescent="0.3">
      <c r="A384">
        <v>21</v>
      </c>
      <c r="B384" s="1" t="s">
        <v>13</v>
      </c>
      <c r="C384" s="13" t="s">
        <v>7</v>
      </c>
      <c r="D384" s="8" t="s">
        <v>7</v>
      </c>
      <c r="E384" s="1" t="s">
        <v>161</v>
      </c>
      <c r="F384" s="8" t="s">
        <v>77</v>
      </c>
    </row>
    <row r="385" spans="1:6" ht="28" customHeight="1" x14ac:dyDescent="0.3">
      <c r="A385">
        <v>22</v>
      </c>
      <c r="B385" s="1" t="s">
        <v>25</v>
      </c>
      <c r="C385" s="13" t="s">
        <v>7</v>
      </c>
      <c r="D385" s="8" t="s">
        <v>7</v>
      </c>
      <c r="E385" s="1" t="s">
        <v>162</v>
      </c>
      <c r="F385" s="8" t="s">
        <v>77</v>
      </c>
    </row>
    <row r="386" spans="1:6" ht="28" customHeight="1" x14ac:dyDescent="0.3">
      <c r="A386">
        <v>23</v>
      </c>
      <c r="B386" s="1" t="s">
        <v>11</v>
      </c>
      <c r="C386" s="13" t="s">
        <v>7</v>
      </c>
      <c r="D386" s="8" t="s">
        <v>7</v>
      </c>
      <c r="E386" s="1" t="s">
        <v>163</v>
      </c>
      <c r="F386" s="8" t="s">
        <v>77</v>
      </c>
    </row>
    <row r="387" spans="1:6" ht="28" customHeight="1" x14ac:dyDescent="0.3">
      <c r="A387">
        <v>24</v>
      </c>
      <c r="B387" s="1" t="s">
        <v>138</v>
      </c>
      <c r="C387" s="13" t="s">
        <v>7</v>
      </c>
      <c r="D387" s="8" t="s">
        <v>7</v>
      </c>
      <c r="E387" s="1" t="s">
        <v>164</v>
      </c>
      <c r="F387" s="8" t="s">
        <v>77</v>
      </c>
    </row>
    <row r="388" spans="1:6" ht="28" customHeight="1" x14ac:dyDescent="0.3">
      <c r="A388">
        <v>25</v>
      </c>
      <c r="B388" s="1" t="s">
        <v>73</v>
      </c>
      <c r="C388" s="13" t="s">
        <v>7</v>
      </c>
      <c r="D388" s="8" t="s">
        <v>7</v>
      </c>
      <c r="E388" s="1" t="s">
        <v>165</v>
      </c>
      <c r="F388" s="8" t="s">
        <v>77</v>
      </c>
    </row>
    <row r="389" spans="1:6" ht="28" customHeight="1" x14ac:dyDescent="0.3">
      <c r="A389">
        <v>26</v>
      </c>
      <c r="B389" s="1" t="s">
        <v>148</v>
      </c>
      <c r="C389" s="13" t="s">
        <v>7</v>
      </c>
      <c r="D389" s="8" t="s">
        <v>7</v>
      </c>
      <c r="E389" s="1" t="s">
        <v>166</v>
      </c>
      <c r="F389" s="8" t="s">
        <v>77</v>
      </c>
    </row>
    <row r="390" spans="1:6" ht="28" customHeight="1" x14ac:dyDescent="0.3">
      <c r="A390">
        <v>27</v>
      </c>
      <c r="B390" s="1" t="s">
        <v>25</v>
      </c>
      <c r="C390" s="13" t="s">
        <v>7</v>
      </c>
      <c r="D390" s="8" t="s">
        <v>7</v>
      </c>
      <c r="E390" s="1" t="s">
        <v>167</v>
      </c>
      <c r="F390" s="8" t="s">
        <v>77</v>
      </c>
    </row>
    <row r="391" spans="1:6" ht="28" customHeight="1" x14ac:dyDescent="0.3">
      <c r="A391">
        <v>28</v>
      </c>
      <c r="B391" s="1" t="s">
        <v>78</v>
      </c>
      <c r="C391" s="13" t="s">
        <v>7</v>
      </c>
      <c r="D391" s="8" t="s">
        <v>7</v>
      </c>
      <c r="E391" s="1" t="s">
        <v>168</v>
      </c>
      <c r="F391" s="8" t="s">
        <v>77</v>
      </c>
    </row>
    <row r="392" spans="1:6" ht="28" customHeight="1" x14ac:dyDescent="0.3">
      <c r="A392">
        <v>29</v>
      </c>
      <c r="B392" s="1" t="s">
        <v>75</v>
      </c>
      <c r="C392" s="13" t="s">
        <v>7</v>
      </c>
      <c r="D392" s="8" t="s">
        <v>7</v>
      </c>
      <c r="E392" s="1" t="s">
        <v>169</v>
      </c>
      <c r="F392" s="8" t="s">
        <v>77</v>
      </c>
    </row>
    <row r="393" spans="1:6" ht="28" customHeight="1" x14ac:dyDescent="0.3">
      <c r="A393">
        <v>30</v>
      </c>
      <c r="B393" s="1" t="s">
        <v>11</v>
      </c>
      <c r="C393" s="13" t="s">
        <v>7</v>
      </c>
      <c r="D393" s="8" t="s">
        <v>7</v>
      </c>
      <c r="E393" s="1" t="s">
        <v>170</v>
      </c>
      <c r="F393" s="8" t="s">
        <v>77</v>
      </c>
    </row>
    <row r="394" spans="1:6" ht="28" customHeight="1" x14ac:dyDescent="0.3">
      <c r="A394">
        <v>31</v>
      </c>
      <c r="B394" s="1" t="s">
        <v>138</v>
      </c>
      <c r="C394" s="13" t="s">
        <v>7</v>
      </c>
      <c r="D394" s="8" t="s">
        <v>7</v>
      </c>
      <c r="E394" s="1" t="s">
        <v>171</v>
      </c>
      <c r="F394" s="8" t="s">
        <v>77</v>
      </c>
    </row>
    <row r="395" spans="1:6" ht="28" customHeight="1" x14ac:dyDescent="0.3">
      <c r="A395">
        <v>32</v>
      </c>
      <c r="B395" s="1" t="s">
        <v>13</v>
      </c>
      <c r="C395" s="13" t="s">
        <v>7</v>
      </c>
      <c r="D395" s="8" t="s">
        <v>7</v>
      </c>
      <c r="E395" s="1" t="s">
        <v>172</v>
      </c>
      <c r="F395" s="8" t="s">
        <v>77</v>
      </c>
    </row>
    <row r="396" spans="1:6" ht="28" customHeight="1" x14ac:dyDescent="0.3">
      <c r="A396">
        <v>33</v>
      </c>
      <c r="B396" s="1" t="s">
        <v>73</v>
      </c>
      <c r="C396" s="13" t="s">
        <v>7</v>
      </c>
      <c r="D396" s="8" t="s">
        <v>7</v>
      </c>
      <c r="E396" s="1" t="s">
        <v>173</v>
      </c>
      <c r="F396" s="8" t="s">
        <v>77</v>
      </c>
    </row>
    <row r="397" spans="1:6" ht="28" customHeight="1" x14ac:dyDescent="0.3">
      <c r="A397">
        <v>34</v>
      </c>
      <c r="B397" s="1" t="s">
        <v>78</v>
      </c>
      <c r="C397" s="13" t="s">
        <v>7</v>
      </c>
      <c r="D397" s="8" t="s">
        <v>7</v>
      </c>
      <c r="E397" s="1" t="s">
        <v>174</v>
      </c>
      <c r="F397" s="8" t="s">
        <v>77</v>
      </c>
    </row>
    <row r="398" spans="1:6" ht="28" customHeight="1" x14ac:dyDescent="0.3">
      <c r="A398">
        <v>35</v>
      </c>
      <c r="B398" s="1" t="s">
        <v>75</v>
      </c>
      <c r="C398" s="13" t="s">
        <v>7</v>
      </c>
      <c r="D398" s="8" t="s">
        <v>7</v>
      </c>
      <c r="E398" s="1" t="s">
        <v>175</v>
      </c>
      <c r="F398" s="8" t="s">
        <v>77</v>
      </c>
    </row>
  </sheetData>
  <phoneticPr fontId="6" type="noConversion"/>
  <conditionalFormatting sqref="C2:C20 D3:D14 D38:D40 D54:D59">
    <cfRule type="containsText" dxfId="41" priority="70" operator="containsText" text="No">
      <formula>NOT(ISERROR(SEARCH("No",C2)))</formula>
    </cfRule>
    <cfRule type="containsText" dxfId="40" priority="69" operator="containsText" text="Yes">
      <formula>NOT(ISERROR(SEARCH("Yes",C2)))</formula>
    </cfRule>
  </conditionalFormatting>
  <conditionalFormatting sqref="C21:C29">
    <cfRule type="containsText" dxfId="39" priority="78" operator="containsText" text="No">
      <formula>NOT(ISERROR(SEARCH("No",C21)))</formula>
    </cfRule>
  </conditionalFormatting>
  <conditionalFormatting sqref="C30:C75">
    <cfRule type="containsText" dxfId="38" priority="60" operator="containsText" text="No">
      <formula>NOT(ISERROR(SEARCH("No",C30)))</formula>
    </cfRule>
    <cfRule type="containsText" dxfId="37" priority="59" operator="containsText" text="Yes">
      <formula>NOT(ISERROR(SEARCH("Yes",C30)))</formula>
    </cfRule>
  </conditionalFormatting>
  <conditionalFormatting sqref="C2:D375">
    <cfRule type="containsText" dxfId="36" priority="31" operator="containsText" text="Yes">
      <formula>NOT(ISERROR(SEARCH("Yes",C2)))</formula>
    </cfRule>
    <cfRule type="containsText" dxfId="35" priority="32" operator="containsText" text="No">
      <formula>NOT(ISERROR(SEARCH("No",C2)))</formula>
    </cfRule>
  </conditionalFormatting>
  <conditionalFormatting sqref="C21:D29">
    <cfRule type="containsText" dxfId="34" priority="77" operator="containsText" text="Yes">
      <formula>NOT(ISERROR(SEARCH("Yes",C21)))</formula>
    </cfRule>
  </conditionalFormatting>
  <conditionalFormatting sqref="C376:D398">
    <cfRule type="cellIs" dxfId="33" priority="37" operator="equal">
      <formula>"Yes"</formula>
    </cfRule>
    <cfRule type="cellIs" dxfId="32" priority="38" operator="equal">
      <formula>"No"</formula>
    </cfRule>
  </conditionalFormatting>
  <conditionalFormatting sqref="D1 D37 D41 D60:D61 D69 D362:D1048576">
    <cfRule type="containsText" dxfId="31" priority="288" operator="containsText" text="Uploaded">
      <formula>NOT(ISERROR(SEARCH("Uploaded",D1)))</formula>
    </cfRule>
  </conditionalFormatting>
  <conditionalFormatting sqref="D1:D2 D15 D32 D362:D1048576 D37 D41 D60:D61 D69">
    <cfRule type="containsText" dxfId="30" priority="270" operator="containsText" text="Uploaded">
      <formula>NOT(ISERROR(SEARCH("Uploaded",D1)))</formula>
    </cfRule>
  </conditionalFormatting>
  <conditionalFormatting sqref="D2">
    <cfRule type="containsText" dxfId="29" priority="245" operator="containsText" text="Uploaded">
      <formula>NOT(ISERROR(SEARCH("Uploaded",D2)))</formula>
    </cfRule>
  </conditionalFormatting>
  <conditionalFormatting sqref="D15">
    <cfRule type="containsText" dxfId="28" priority="244" operator="containsText" text="Uploaded">
      <formula>NOT(ISERROR(SEARCH("Uploaded",D15)))</formula>
    </cfRule>
  </conditionalFormatting>
  <conditionalFormatting sqref="D16:D20">
    <cfRule type="containsText" dxfId="27" priority="97" operator="containsText" text="Yes">
      <formula>NOT(ISERROR(SEARCH("Yes",D16)))</formula>
    </cfRule>
  </conditionalFormatting>
  <conditionalFormatting sqref="D16:D23">
    <cfRule type="containsText" dxfId="26" priority="98" operator="containsText" text="No">
      <formula>NOT(ISERROR(SEARCH("No",D16)))</formula>
    </cfRule>
  </conditionalFormatting>
  <conditionalFormatting sqref="D24:D29">
    <cfRule type="containsText" dxfId="25" priority="92" operator="containsText" text="No">
      <formula>NOT(ISERROR(SEARCH("No",D24)))</formula>
    </cfRule>
  </conditionalFormatting>
  <conditionalFormatting sqref="D30:D31">
    <cfRule type="containsText" dxfId="24" priority="36" operator="containsText" text="No">
      <formula>NOT(ISERROR(SEARCH("No",D30)))</formula>
    </cfRule>
    <cfRule type="containsText" dxfId="23" priority="35" operator="containsText" text="Yes">
      <formula>NOT(ISERROR(SEARCH("Yes",D30)))</formula>
    </cfRule>
  </conditionalFormatting>
  <conditionalFormatting sqref="D32">
    <cfRule type="containsText" dxfId="22" priority="243" operator="containsText" text="Uploaded">
      <formula>NOT(ISERROR(SEARCH("Uploaded",D32)))</formula>
    </cfRule>
  </conditionalFormatting>
  <conditionalFormatting sqref="D33:D36">
    <cfRule type="containsText" dxfId="21" priority="2" operator="containsText" text="No">
      <formula>NOT(ISERROR(SEARCH("No",D33)))</formula>
    </cfRule>
    <cfRule type="containsText" dxfId="20" priority="1" operator="containsText" text="Yes">
      <formula>NOT(ISERROR(SEARCH("Yes",D33)))</formula>
    </cfRule>
  </conditionalFormatting>
  <conditionalFormatting sqref="D42:D47">
    <cfRule type="containsText" dxfId="19" priority="13" operator="containsText" text="Yes">
      <formula>NOT(ISERROR(SEARCH("Yes",D42)))</formula>
    </cfRule>
    <cfRule type="containsText" dxfId="18" priority="14" operator="containsText" text="No">
      <formula>NOT(ISERROR(SEARCH("No",D42)))</formula>
    </cfRule>
  </conditionalFormatting>
  <conditionalFormatting sqref="D48">
    <cfRule type="containsText" dxfId="17" priority="9" operator="containsText" text="Uploaded">
      <formula>NOT(ISERROR(SEARCH("Uploaded",D48)))</formula>
    </cfRule>
    <cfRule type="containsText" dxfId="16" priority="10" operator="containsText" text="Uploaded">
      <formula>NOT(ISERROR(SEARCH("Uploaded",D48)))</formula>
    </cfRule>
  </conditionalFormatting>
  <conditionalFormatting sqref="D49:D52">
    <cfRule type="containsText" dxfId="15" priority="11" operator="containsText" text="Yes">
      <formula>NOT(ISERROR(SEARCH("Yes",D49)))</formula>
    </cfRule>
    <cfRule type="containsText" dxfId="14" priority="12" operator="containsText" text="No">
      <formula>NOT(ISERROR(SEARCH("No",D49)))</formula>
    </cfRule>
  </conditionalFormatting>
  <conditionalFormatting sqref="D53">
    <cfRule type="containsText" dxfId="13" priority="23" operator="containsText" text="Uploaded">
      <formula>NOT(ISERROR(SEARCH("Uploaded",D53)))</formula>
    </cfRule>
    <cfRule type="containsText" dxfId="12" priority="24" operator="containsText" text="Uploaded">
      <formula>NOT(ISERROR(SEARCH("Uploaded",D53)))</formula>
    </cfRule>
  </conditionalFormatting>
  <conditionalFormatting sqref="D62:D68">
    <cfRule type="containsText" dxfId="11" priority="256" operator="containsText" text="Yes">
      <formula>NOT(ISERROR(SEARCH("Yes",D62)))</formula>
    </cfRule>
    <cfRule type="containsText" dxfId="10" priority="257" operator="containsText" text="No">
      <formula>NOT(ISERROR(SEARCH("No",D62)))</formula>
    </cfRule>
  </conditionalFormatting>
  <conditionalFormatting sqref="D70:D74">
    <cfRule type="containsText" dxfId="9" priority="26" operator="containsText" text="No">
      <formula>NOT(ISERROR(SEARCH("No",D70)))</formula>
    </cfRule>
    <cfRule type="containsText" dxfId="8" priority="25" operator="containsText" text="Yes">
      <formula>NOT(ISERROR(SEARCH("Yes",D70)))</formula>
    </cfRule>
  </conditionalFormatting>
  <conditionalFormatting sqref="F2:F375">
    <cfRule type="containsText" dxfId="7" priority="34" operator="containsText" text="No">
      <formula>NOT(ISERROR(SEARCH("No",F2)))</formula>
    </cfRule>
    <cfRule type="containsText" dxfId="6" priority="33" operator="containsText" text="Yes">
      <formula>NOT(ISERROR(SEARCH("Yes",F2)))</formula>
    </cfRule>
  </conditionalFormatting>
  <conditionalFormatting sqref="F376:F398">
    <cfRule type="cellIs" dxfId="5" priority="39" operator="equal">
      <formula>"Yes"</formula>
    </cfRule>
    <cfRule type="cellIs" dxfId="4" priority="40" operator="equal">
      <formula>"No"</formula>
    </cfRule>
  </conditionalFormatting>
  <dataValidations count="3">
    <dataValidation type="list" showInputMessage="1" showErrorMessage="1" sqref="C2:C32 C33:D36 C37:C76 D3:D14 D16:D31 D38:D40 D42:D47 D49:D52 D54:D59 D62:D68 D70:D74" xr:uid="{00000000-0002-0000-0200-000000000000}">
      <formula1>"Yes,No"</formula1>
    </dataValidation>
    <dataValidation type="list" sqref="C2:D375 F2:F375" xr:uid="{00000000-0002-0000-0200-000001000000}">
      <formula1>"Yes,No"</formula1>
    </dataValidation>
    <dataValidation type="list" allowBlank="1" sqref="C376:C398 D376:D398 F376:F398" xr:uid="{00000000-0002-0000-0200-000002000000}">
      <formula1>"Yes,No"</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BookCode</vt:lpstr>
      <vt:lpstr>SolutionCode</vt:lpstr>
      <vt:lpstr>TableCode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Zhirong Tao</dc:creator>
  <cp:lastModifiedBy>Zhirong Tao</cp:lastModifiedBy>
  <cp:lastPrinted>2025-11-26T21:53:07Z</cp:lastPrinted>
  <dcterms:created xsi:type="dcterms:W3CDTF">2025-09-15T07:31:44Z</dcterms:created>
  <dcterms:modified xsi:type="dcterms:W3CDTF">2026-06-07T12:32:04Z</dcterms:modified>
</cp:coreProperties>
</file>